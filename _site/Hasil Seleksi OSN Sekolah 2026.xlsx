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K" sheetId="1" r:id="rId5"/>
    <sheet state="visible" name="INFORMATIKA" sheetId="2" r:id="rId6"/>
    <sheet state="visible" name="KIMIA" sheetId="3" r:id="rId7"/>
    <sheet state="visible" name="GEOGRAFI" sheetId="4" r:id="rId8"/>
    <sheet state="visible" name="EKONOMI" sheetId="5" r:id="rId9"/>
    <sheet state="visible" name="KEBUMIAN" sheetId="6" r:id="rId10"/>
    <sheet state="visible" name="FISIKA" sheetId="7" r:id="rId11"/>
    <sheet state="visible" name="ASTRONOMI" sheetId="8" r:id="rId12"/>
    <sheet state="visible" name="BIOLOGI" sheetId="9" r:id="rId13"/>
  </sheets>
  <definedNames/>
  <calcPr/>
</workbook>
</file>

<file path=xl/sharedStrings.xml><?xml version="1.0" encoding="utf-8"?>
<sst xmlns="http://schemas.openxmlformats.org/spreadsheetml/2006/main" count="455" uniqueCount="174">
  <si>
    <t>PEMERINTAH PROVINSI JAWA BARAT</t>
  </si>
  <si>
    <t>DINAS PENDIDIKAN</t>
  </si>
  <si>
    <t>SMA  NEGERI 2 CIBINONG</t>
  </si>
  <si>
    <t>Jln. Karadenan No. 5 Cibinong Telp/Fax. ( 0251 ) 8654347 Bogor 16913</t>
  </si>
  <si>
    <t>http://www.sman2cibinong.sch.id    email: info@sman2cibinong.sch.id</t>
  </si>
  <si>
    <t>HASIL SELEKSI OSN TINGKAT SEKOLAH</t>
  </si>
  <si>
    <t>BIDANG MATEMATIKA</t>
  </si>
  <si>
    <t>Tahun 2026</t>
  </si>
  <si>
    <t>No</t>
  </si>
  <si>
    <t>Nama Peserta</t>
  </si>
  <si>
    <t>Kelas</t>
  </si>
  <si>
    <t>Absensi</t>
  </si>
  <si>
    <t>Skor</t>
  </si>
  <si>
    <t>Nilai Akhir</t>
  </si>
  <si>
    <t>Total Pertemuan</t>
  </si>
  <si>
    <t>Kehadiran</t>
  </si>
  <si>
    <t>Persentase</t>
  </si>
  <si>
    <t>Tes</t>
  </si>
  <si>
    <t>MUHAMMAD RIZQULLAH SALIM W.</t>
  </si>
  <si>
    <t>XI-E1</t>
  </si>
  <si>
    <t>NEISHA ARINTA PUTRI SARJANA</t>
  </si>
  <si>
    <t>NAILA KHANSA RAHMAWATI</t>
  </si>
  <si>
    <t>X-8</t>
  </si>
  <si>
    <t>NARARYA HYLMI KENZIE</t>
  </si>
  <si>
    <t>X-9</t>
  </si>
  <si>
    <t>ZAKI ARYA WICAKSONO</t>
  </si>
  <si>
    <t>X-11</t>
  </si>
  <si>
    <t>FARREL LUTHFI ARVIANSYAH</t>
  </si>
  <si>
    <t>XI-D3</t>
  </si>
  <si>
    <t>ANDRA RAKADITYONO</t>
  </si>
  <si>
    <t>X-3</t>
  </si>
  <si>
    <t>REYNALDI</t>
  </si>
  <si>
    <t>KARNIZARA RINGGA RABBANI</t>
  </si>
  <si>
    <t>X-4</t>
  </si>
  <si>
    <t>IMAM AL ASHFIA PRASTOMO</t>
  </si>
  <si>
    <t>XI-E2</t>
  </si>
  <si>
    <t>DENISA AZKA PUTRI</t>
  </si>
  <si>
    <t>X-2</t>
  </si>
  <si>
    <t>HERU KURNIA</t>
  </si>
  <si>
    <t>RAIVAN ELANG PRAMONO</t>
  </si>
  <si>
    <t>X-10</t>
  </si>
  <si>
    <t>SABIKA ZAURA KHUMAIRO</t>
  </si>
  <si>
    <t>PUFFIN ROHIS JUSUP MANURUNG</t>
  </si>
  <si>
    <t>NAUFAL ADITAMA</t>
  </si>
  <si>
    <t>X-5</t>
  </si>
  <si>
    <t>ARUNI KHALILA AYU</t>
  </si>
  <si>
    <t>X-12</t>
  </si>
  <si>
    <t>KHANSA VANYA LAUDYA PUTRI</t>
  </si>
  <si>
    <t>BIDANG INFORMATIKA/KOMPUTER</t>
  </si>
  <si>
    <t>TLX.toki C++</t>
  </si>
  <si>
    <t>ARYASATYA TRIDAYA ALAM</t>
  </si>
  <si>
    <t>ABIMANYU CAKRANINGRAT</t>
  </si>
  <si>
    <t>XI-D2</t>
  </si>
  <si>
    <t>AYUDIAS RAINA ZARA</t>
  </si>
  <si>
    <t>REI DILLAN HARTEDI</t>
  </si>
  <si>
    <t>SULAIM APENINO ABDULHAQ</t>
  </si>
  <si>
    <t>JAZIRAH RAHMAH</t>
  </si>
  <si>
    <t>LAIS YUSUF GHAZALI</t>
  </si>
  <si>
    <t>LUQMAN AZIZ SAPUTRO</t>
  </si>
  <si>
    <t>ANINDITO PANDU FAHRINUGROHO</t>
  </si>
  <si>
    <t>ZAVIER LAMYA ARKANOWINATHA</t>
  </si>
  <si>
    <t>X-1</t>
  </si>
  <si>
    <t>ATHAYA MUHAMMAD DAFFA</t>
  </si>
  <si>
    <t>LANGLANG SYAHADAT PULANG JATI</t>
  </si>
  <si>
    <t>ATAYA ARKAN RAMADHAN</t>
  </si>
  <si>
    <t>BIDANG KIMIA</t>
  </si>
  <si>
    <t>LINGGA ARGAN ZINGGARA</t>
  </si>
  <si>
    <t>XI-D1</t>
  </si>
  <si>
    <t>MUHAMMAD BAGUS HARYO P.</t>
  </si>
  <si>
    <t>KHANSA NABILAH FATIN</t>
  </si>
  <si>
    <t>MUHAMMAD RIFQI HADZAMI</t>
  </si>
  <si>
    <t>ATHALIA MAYROSSA KENZIE</t>
  </si>
  <si>
    <t>ZAHRA TALITA DZAKIRA</t>
  </si>
  <si>
    <t>ZIKRA ARIB ROZAAN</t>
  </si>
  <si>
    <t>RANDACAYA HADA SANGADJI</t>
  </si>
  <si>
    <t>XI-F2</t>
  </si>
  <si>
    <t>ASHYA NAVISHA</t>
  </si>
  <si>
    <t>RAYHANA RIZKYA AL-MULTAZAM</t>
  </si>
  <si>
    <t>ARIO BIMO WICAKSONO</t>
  </si>
  <si>
    <t>DHIA DEVITA RAMADHANI</t>
  </si>
  <si>
    <t>X-7</t>
  </si>
  <si>
    <t>RAISA PUTRI RAHIMA</t>
  </si>
  <si>
    <t>MARIA RICA STEFANY DEMU</t>
  </si>
  <si>
    <t>BIDANG GEOGRAFI</t>
  </si>
  <si>
    <t>SAMY ABDURRAHMAN ROMDHONY</t>
  </si>
  <si>
    <t>XI-B1</t>
  </si>
  <si>
    <t>IZAZ IZZATUL ISLAM</t>
  </si>
  <si>
    <t>PRAMUDHIO SAWERIGADING IHSAN</t>
  </si>
  <si>
    <t>MUSYAFFA NURESHAN PAHLEVI</t>
  </si>
  <si>
    <t>XI-B2</t>
  </si>
  <si>
    <t>RAKA SYABANY AMSYAH</t>
  </si>
  <si>
    <t>FAHMI ADILLA PASHA</t>
  </si>
  <si>
    <t>AHMAD HAFIDZ ANWAR</t>
  </si>
  <si>
    <t>SALSA KIRANA PUTRI</t>
  </si>
  <si>
    <t>X-6</t>
  </si>
  <si>
    <t>RACHMAT SAIDI KOES MULYANA</t>
  </si>
  <si>
    <t>XI-A2</t>
  </si>
  <si>
    <t>DIWANGKARA RIZKI RABBANI</t>
  </si>
  <si>
    <t>HINEZTA NAILAH SANMAGHFIRAH</t>
  </si>
  <si>
    <t>KEYLA PUTRI SAKSONO</t>
  </si>
  <si>
    <t>FEBRI AFRIANI</t>
  </si>
  <si>
    <t>RANIA SALSABILLA</t>
  </si>
  <si>
    <t>BIDANG EKONOMI</t>
  </si>
  <si>
    <t>QUENNA VALENCIA</t>
  </si>
  <si>
    <t>DAVINA MUTIARA ARFI</t>
  </si>
  <si>
    <t>PUTRI KHAILA AZZAHRA</t>
  </si>
  <si>
    <t>FADYA MALIKHA</t>
  </si>
  <si>
    <t>QUINTANIA AURA PUTRI</t>
  </si>
  <si>
    <t>SALMAN LATIF ANSHARI</t>
  </si>
  <si>
    <t>SAFA ADALIA</t>
  </si>
  <si>
    <t>KAYLA DHEA NURMA FAUZIAH</t>
  </si>
  <si>
    <t>ADHIE BRAMANTYO FAQIH</t>
  </si>
  <si>
    <t>MIRZA MAULANA ALTAMIS</t>
  </si>
  <si>
    <t>RUBA AQEELA HAFIZHA MECCA</t>
  </si>
  <si>
    <t>MYIESHA LUNAR WISESA PUTRI</t>
  </si>
  <si>
    <t>JUAN TRI ALEXANDRO IMMANUEL</t>
  </si>
  <si>
    <t>SAFA NAYA ADRISTI</t>
  </si>
  <si>
    <t>AHMAD FAHRI HIDAYAT</t>
  </si>
  <si>
    <t>ALISA PUTRI</t>
  </si>
  <si>
    <t>LIVIA VIDYADHARA</t>
  </si>
  <si>
    <t>KEBU</t>
  </si>
  <si>
    <t>BIDANG KEBUMIAN</t>
  </si>
  <si>
    <t>SANLIA MORANDA. S</t>
  </si>
  <si>
    <t>GAN MUHAMMAD RIZKY</t>
  </si>
  <si>
    <t>ABHIPRAYA FAHIM</t>
  </si>
  <si>
    <t>MUHAMMAD YAFIARGI S.</t>
  </si>
  <si>
    <t>KHAIRA RABBANI TSALASA</t>
  </si>
  <si>
    <t>XI-F1</t>
  </si>
  <si>
    <t>ZAINA HUSNIYATI HAMDANI</t>
  </si>
  <si>
    <t>BIDANG FISIKA</t>
  </si>
  <si>
    <t>RIFQI ANINDYA PUTRA</t>
  </si>
  <si>
    <t>FITRAH THIRAFI</t>
  </si>
  <si>
    <t>DICKY MAULANA</t>
  </si>
  <si>
    <t>CHELSY ASHYLA NAFIZA</t>
  </si>
  <si>
    <t>VINDY APRILIA KHANAYA</t>
  </si>
  <si>
    <t>BILQIS NIKITA AYLANI</t>
  </si>
  <si>
    <t>MUHAMMAD FATIH RAYYAN NIAGO</t>
  </si>
  <si>
    <t>AQILA NOYA FAIZA</t>
  </si>
  <si>
    <t>NAURA PRAPRINCESS ANANDA A.</t>
  </si>
  <si>
    <t>ACHMAD FIRZA GHIBRAN</t>
  </si>
  <si>
    <t>BIDANG ASTRONOMI</t>
  </si>
  <si>
    <t>MUHAMMAD ATHA FAUZANSYAH</t>
  </si>
  <si>
    <t>MUHAMMAD GHIFARAIDOSATA S.</t>
  </si>
  <si>
    <t>JESSLYN QUINN GABRIELLE SITORUS</t>
  </si>
  <si>
    <t>AULIA INTAN RHAMADHANI</t>
  </si>
  <si>
    <t>FARID PRADANA</t>
  </si>
  <si>
    <t>MUHAMMAD ARSYAL DIVO F.</t>
  </si>
  <si>
    <t>BIDANG BIOLOGI</t>
  </si>
  <si>
    <t>Total Pertemuan:</t>
  </si>
  <si>
    <t>ANINDYA ZHAFIRA SANI</t>
  </si>
  <si>
    <t>AUFA SYAFIQ DISASTRA</t>
  </si>
  <si>
    <t>GRASELA RIYANTI</t>
  </si>
  <si>
    <t>ABDUL GHOFAR</t>
  </si>
  <si>
    <t>PRISCILIA MICHELLE PASAU</t>
  </si>
  <si>
    <t>ABHISTA ANGGORO PURNOMO</t>
  </si>
  <si>
    <t>PUTERI KINNAYYA SAEPUDIN</t>
  </si>
  <si>
    <t>BUMI RAFFAH AL-ISLAHI</t>
  </si>
  <si>
    <t>ASYIFA MAULIDIA SALSABILA</t>
  </si>
  <si>
    <t>AULIA AZAHRA</t>
  </si>
  <si>
    <t>GEDE AIRA SAGITA PUTRI KSY</t>
  </si>
  <si>
    <t>KEYNIA LOUIS CRISTIN HARIANJA</t>
  </si>
  <si>
    <t>FATIMAH ASZAHRA</t>
  </si>
  <si>
    <t>ASKANA NAILAZAHRAN H.</t>
  </si>
  <si>
    <t>FRICILIA APRILYANI CARDOSO</t>
  </si>
  <si>
    <t>MASAYU GANISHA PEMBAYUN PUTRI</t>
  </si>
  <si>
    <t>SALSABILA ALFEEANSYAH PUTRI</t>
  </si>
  <si>
    <t>ANDINI QORIYATI KHAERANI</t>
  </si>
  <si>
    <t>NYDIA AISYAH ALLIFIA</t>
  </si>
  <si>
    <t>SHAHIRA HAFIZA PUTRI</t>
  </si>
  <si>
    <t>PUTRI ZAQIYAH</t>
  </si>
  <si>
    <t>CHERYL FAIHA ALTAIR</t>
  </si>
  <si>
    <t>ASKANA NAILAZAHRAN HERMANSYAH</t>
  </si>
  <si>
    <t>PUTRI ZAKIYAH</t>
  </si>
  <si>
    <t>CHERYL FAIHA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</si>
</sst>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theme="1"/>
      <name val="Arial Narrow"/>
    </font>
    <font>
      <b/>
      <sz val="14.0"/>
      <color theme="1"/>
      <name val="Arial Narrow"/>
    </font>
    <font>
      <color theme="1"/>
      <name val="Arial Narrow"/>
    </font>
    <font/>
    <font>
      <b/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212121"/>
      <name val="Arial"/>
    </font>
    <font>
      <sz val="11.0"/>
      <color theme="1"/>
      <name val="Arial"/>
      <scheme val="minor"/>
    </font>
    <font>
      <sz val="11.0"/>
      <color rgb="FF434343"/>
      <name val="Arial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222222"/>
      <name val="Arial"/>
      <scheme val="minor"/>
    </font>
    <font>
      <color rgb="FF222222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8">
    <border/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2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4" fillId="0" fontId="4" numFmtId="0" xfId="0" applyBorder="1" applyFont="1"/>
    <xf borderId="0" fillId="0" fontId="7" numFmtId="0" xfId="0" applyAlignment="1" applyFont="1">
      <alignment readingOrder="0"/>
    </xf>
    <xf borderId="5" fillId="0" fontId="4" numFmtId="0" xfId="0" applyBorder="1" applyFont="1"/>
    <xf borderId="6" fillId="0" fontId="6" numFmtId="0" xfId="0" applyAlignment="1" applyBorder="1" applyFont="1">
      <alignment horizontal="center" readingOrder="0" vertical="center"/>
    </xf>
    <xf borderId="6" fillId="2" fontId="7" numFmtId="0" xfId="0" applyAlignment="1" applyBorder="1" applyFill="1" applyFont="1">
      <alignment readingOrder="0"/>
    </xf>
    <xf borderId="6" fillId="2" fontId="8" numFmtId="0" xfId="0" applyAlignment="1" applyBorder="1" applyFont="1">
      <alignment horizontal="left" readingOrder="0" shrinkToFit="0" wrapText="1"/>
    </xf>
    <xf borderId="6" fillId="2" fontId="8" numFmtId="0" xfId="0" applyAlignment="1" applyBorder="1" applyFont="1">
      <alignment horizontal="center" readingOrder="0" shrinkToFit="0" wrapText="1"/>
    </xf>
    <xf borderId="6" fillId="2" fontId="7" numFmtId="9" xfId="0" applyBorder="1" applyFont="1" applyNumberFormat="1"/>
    <xf borderId="6" fillId="2" fontId="7" numFmtId="0" xfId="0" applyBorder="1" applyFont="1"/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horizontal="left" readingOrder="0" shrinkToFit="0" wrapText="1"/>
    </xf>
    <xf borderId="6" fillId="0" fontId="8" numFmtId="0" xfId="0" applyAlignment="1" applyBorder="1" applyFont="1">
      <alignment horizontal="center" readingOrder="0" shrinkToFit="0" wrapText="1"/>
    </xf>
    <xf borderId="6" fillId="0" fontId="7" numFmtId="9" xfId="0" applyBorder="1" applyFont="1" applyNumberFormat="1"/>
    <xf borderId="6" fillId="0" fontId="7" numFmtId="0" xfId="0" applyBorder="1" applyFont="1"/>
    <xf borderId="7" fillId="0" fontId="4" numFmtId="0" xfId="0" applyBorder="1" applyFont="1"/>
    <xf borderId="0" fillId="0" fontId="7" numFmtId="9" xfId="0" applyFont="1" applyNumberFormat="1"/>
    <xf borderId="0" fillId="0" fontId="1" numFmtId="0" xfId="0" applyAlignment="1" applyFont="1">
      <alignment horizontal="center" readingOrder="0"/>
    </xf>
    <xf borderId="6" fillId="2" fontId="9" numFmtId="0" xfId="0" applyAlignment="1" applyBorder="1" applyFont="1">
      <alignment horizontal="left" readingOrder="0" shrinkToFit="0" wrapText="1"/>
    </xf>
    <xf borderId="6" fillId="2" fontId="9" numFmtId="0" xfId="0" applyAlignment="1" applyBorder="1" applyFont="1">
      <alignment horizontal="center" readingOrder="0" shrinkToFit="0" wrapText="1"/>
    </xf>
    <xf borderId="6" fillId="2" fontId="10" numFmtId="0" xfId="0" applyAlignment="1" applyBorder="1" applyFont="1">
      <alignment readingOrder="0"/>
    </xf>
    <xf borderId="6" fillId="0" fontId="9" numFmtId="0" xfId="0" applyAlignment="1" applyBorder="1" applyFont="1">
      <alignment horizontal="left" readingOrder="0" shrinkToFit="0" wrapText="1"/>
    </xf>
    <xf borderId="6" fillId="0" fontId="9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readingOrder="0"/>
    </xf>
    <xf borderId="6" fillId="0" fontId="9" numFmtId="0" xfId="0" applyAlignment="1" applyBorder="1" applyFont="1">
      <alignment horizontal="left" readingOrder="0" shrinkToFit="0" wrapText="0"/>
    </xf>
    <xf borderId="6" fillId="0" fontId="11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76300" cy="9525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2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6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</v>
      </c>
      <c r="K11" s="11">
        <v>10.0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</row>
    <row r="13">
      <c r="A13" s="14">
        <v>1.0</v>
      </c>
      <c r="B13" s="15" t="s">
        <v>18</v>
      </c>
      <c r="C13" s="16" t="s">
        <v>19</v>
      </c>
      <c r="D13" s="14">
        <v>8.0</v>
      </c>
      <c r="E13" s="17">
        <f t="shared" ref="E13:E30" si="1">D13/$K$11</f>
        <v>0.8</v>
      </c>
      <c r="F13" s="14">
        <v>8.0</v>
      </c>
      <c r="G13" s="14">
        <v>52.0</v>
      </c>
      <c r="H13" s="18">
        <f t="shared" ref="H13:H30" si="2">G13+F13</f>
        <v>60</v>
      </c>
    </row>
    <row r="14">
      <c r="A14" s="14">
        <v>2.0</v>
      </c>
      <c r="B14" s="15" t="s">
        <v>20</v>
      </c>
      <c r="C14" s="16" t="s">
        <v>19</v>
      </c>
      <c r="D14" s="14">
        <v>9.0</v>
      </c>
      <c r="E14" s="17">
        <f t="shared" si="1"/>
        <v>0.9</v>
      </c>
      <c r="F14" s="14">
        <v>9.0</v>
      </c>
      <c r="G14" s="14">
        <v>48.0</v>
      </c>
      <c r="H14" s="18">
        <f t="shared" si="2"/>
        <v>57</v>
      </c>
    </row>
    <row r="15">
      <c r="A15" s="14">
        <v>3.0</v>
      </c>
      <c r="B15" s="15" t="s">
        <v>21</v>
      </c>
      <c r="C15" s="16" t="s">
        <v>22</v>
      </c>
      <c r="D15" s="14">
        <v>10.0</v>
      </c>
      <c r="E15" s="17">
        <f t="shared" si="1"/>
        <v>1</v>
      </c>
      <c r="F15" s="14">
        <v>10.0</v>
      </c>
      <c r="G15" s="14">
        <v>24.0</v>
      </c>
      <c r="H15" s="18">
        <f t="shared" si="2"/>
        <v>34</v>
      </c>
    </row>
    <row r="16">
      <c r="A16" s="14">
        <v>4.0</v>
      </c>
      <c r="B16" s="15" t="s">
        <v>23</v>
      </c>
      <c r="C16" s="16" t="s">
        <v>24</v>
      </c>
      <c r="D16" s="14">
        <v>8.0</v>
      </c>
      <c r="E16" s="17">
        <f t="shared" si="1"/>
        <v>0.8</v>
      </c>
      <c r="F16" s="14">
        <v>8.0</v>
      </c>
      <c r="G16" s="14">
        <v>24.0</v>
      </c>
      <c r="H16" s="18">
        <f t="shared" si="2"/>
        <v>32</v>
      </c>
    </row>
    <row r="17">
      <c r="A17" s="14">
        <v>5.0</v>
      </c>
      <c r="B17" s="15" t="s">
        <v>25</v>
      </c>
      <c r="C17" s="16" t="s">
        <v>26</v>
      </c>
      <c r="D17" s="14">
        <v>8.0</v>
      </c>
      <c r="E17" s="17">
        <f t="shared" si="1"/>
        <v>0.8</v>
      </c>
      <c r="F17" s="14">
        <v>8.0</v>
      </c>
      <c r="G17" s="14">
        <v>20.0</v>
      </c>
      <c r="H17" s="18">
        <f t="shared" si="2"/>
        <v>28</v>
      </c>
    </row>
    <row r="18">
      <c r="A18" s="19">
        <v>6.0</v>
      </c>
      <c r="B18" s="20" t="s">
        <v>27</v>
      </c>
      <c r="C18" s="21" t="s">
        <v>28</v>
      </c>
      <c r="D18" s="19">
        <v>7.0</v>
      </c>
      <c r="E18" s="22">
        <f t="shared" si="1"/>
        <v>0.7</v>
      </c>
      <c r="F18" s="19">
        <v>7.0</v>
      </c>
      <c r="G18" s="19">
        <v>20.0</v>
      </c>
      <c r="H18" s="23">
        <f t="shared" si="2"/>
        <v>27</v>
      </c>
    </row>
    <row r="19">
      <c r="A19" s="19">
        <v>7.0</v>
      </c>
      <c r="B19" s="20" t="s">
        <v>29</v>
      </c>
      <c r="C19" s="21" t="s">
        <v>30</v>
      </c>
      <c r="D19" s="19">
        <v>10.0</v>
      </c>
      <c r="E19" s="22">
        <f t="shared" si="1"/>
        <v>1</v>
      </c>
      <c r="F19" s="19">
        <v>10.0</v>
      </c>
      <c r="G19" s="19">
        <v>16.0</v>
      </c>
      <c r="H19" s="23">
        <f t="shared" si="2"/>
        <v>26</v>
      </c>
    </row>
    <row r="20">
      <c r="A20" s="19">
        <v>8.0</v>
      </c>
      <c r="B20" s="20" t="s">
        <v>31</v>
      </c>
      <c r="C20" s="21" t="s">
        <v>24</v>
      </c>
      <c r="D20" s="19">
        <v>9.0</v>
      </c>
      <c r="E20" s="22">
        <f t="shared" si="1"/>
        <v>0.9</v>
      </c>
      <c r="F20" s="19">
        <v>9.0</v>
      </c>
      <c r="G20" s="19">
        <v>16.0</v>
      </c>
      <c r="H20" s="23">
        <f t="shared" si="2"/>
        <v>25</v>
      </c>
    </row>
    <row r="21">
      <c r="A21" s="19">
        <v>9.0</v>
      </c>
      <c r="B21" s="20" t="s">
        <v>32</v>
      </c>
      <c r="C21" s="21" t="s">
        <v>33</v>
      </c>
      <c r="D21" s="19">
        <v>8.0</v>
      </c>
      <c r="E21" s="22">
        <f t="shared" si="1"/>
        <v>0.8</v>
      </c>
      <c r="F21" s="19">
        <v>8.0</v>
      </c>
      <c r="G21" s="19">
        <v>11.0</v>
      </c>
      <c r="H21" s="23">
        <f t="shared" si="2"/>
        <v>19</v>
      </c>
    </row>
    <row r="22">
      <c r="A22" s="19">
        <v>10.0</v>
      </c>
      <c r="B22" s="20" t="s">
        <v>34</v>
      </c>
      <c r="C22" s="21" t="s">
        <v>35</v>
      </c>
      <c r="D22" s="19">
        <v>7.0</v>
      </c>
      <c r="E22" s="22">
        <f t="shared" si="1"/>
        <v>0.7</v>
      </c>
      <c r="F22" s="19">
        <v>7.0</v>
      </c>
      <c r="G22" s="19">
        <v>12.0</v>
      </c>
      <c r="H22" s="23">
        <f t="shared" si="2"/>
        <v>19</v>
      </c>
    </row>
    <row r="23">
      <c r="A23" s="19">
        <v>11.0</v>
      </c>
      <c r="B23" s="20" t="s">
        <v>36</v>
      </c>
      <c r="C23" s="21" t="s">
        <v>37</v>
      </c>
      <c r="D23" s="19">
        <v>6.0</v>
      </c>
      <c r="E23" s="22">
        <f t="shared" si="1"/>
        <v>0.6</v>
      </c>
      <c r="F23" s="19">
        <v>6.0</v>
      </c>
      <c r="G23" s="19">
        <v>12.0</v>
      </c>
      <c r="H23" s="23">
        <f t="shared" si="2"/>
        <v>18</v>
      </c>
    </row>
    <row r="24">
      <c r="A24" s="19">
        <v>12.0</v>
      </c>
      <c r="B24" s="20" t="s">
        <v>38</v>
      </c>
      <c r="C24" s="21" t="s">
        <v>35</v>
      </c>
      <c r="D24" s="19">
        <v>5.0</v>
      </c>
      <c r="E24" s="22">
        <f t="shared" si="1"/>
        <v>0.5</v>
      </c>
      <c r="F24" s="19">
        <v>5.0</v>
      </c>
      <c r="G24" s="19">
        <v>10.0</v>
      </c>
      <c r="H24" s="23">
        <f t="shared" si="2"/>
        <v>15</v>
      </c>
    </row>
    <row r="25">
      <c r="A25" s="19">
        <v>13.0</v>
      </c>
      <c r="B25" s="20" t="s">
        <v>39</v>
      </c>
      <c r="C25" s="21" t="s">
        <v>40</v>
      </c>
      <c r="D25" s="19">
        <v>7.0</v>
      </c>
      <c r="E25" s="22">
        <f t="shared" si="1"/>
        <v>0.7</v>
      </c>
      <c r="F25" s="19">
        <v>7.0</v>
      </c>
      <c r="G25" s="19">
        <v>7.0</v>
      </c>
      <c r="H25" s="23">
        <f t="shared" si="2"/>
        <v>14</v>
      </c>
    </row>
    <row r="26">
      <c r="A26" s="19">
        <v>14.0</v>
      </c>
      <c r="B26" s="20" t="s">
        <v>41</v>
      </c>
      <c r="C26" s="21" t="s">
        <v>19</v>
      </c>
      <c r="D26" s="19">
        <v>8.0</v>
      </c>
      <c r="E26" s="22">
        <f t="shared" si="1"/>
        <v>0.8</v>
      </c>
      <c r="F26" s="19">
        <v>8.0</v>
      </c>
      <c r="G26" s="19">
        <v>5.0</v>
      </c>
      <c r="H26" s="23">
        <f t="shared" si="2"/>
        <v>13</v>
      </c>
    </row>
    <row r="27">
      <c r="A27" s="19">
        <v>15.0</v>
      </c>
      <c r="B27" s="20" t="s">
        <v>42</v>
      </c>
      <c r="C27" s="21" t="s">
        <v>33</v>
      </c>
      <c r="D27" s="19">
        <v>7.0</v>
      </c>
      <c r="E27" s="22">
        <f t="shared" si="1"/>
        <v>0.7</v>
      </c>
      <c r="F27" s="19">
        <v>7.0</v>
      </c>
      <c r="G27" s="19">
        <v>2.0</v>
      </c>
      <c r="H27" s="23">
        <f t="shared" si="2"/>
        <v>9</v>
      </c>
    </row>
    <row r="28">
      <c r="A28" s="19">
        <v>16.0</v>
      </c>
      <c r="B28" s="20" t="s">
        <v>43</v>
      </c>
      <c r="C28" s="21" t="s">
        <v>44</v>
      </c>
      <c r="D28" s="19">
        <v>7.0</v>
      </c>
      <c r="E28" s="22">
        <f t="shared" si="1"/>
        <v>0.7</v>
      </c>
      <c r="F28" s="19">
        <v>7.0</v>
      </c>
      <c r="G28" s="19">
        <v>2.0</v>
      </c>
      <c r="H28" s="23">
        <f t="shared" si="2"/>
        <v>9</v>
      </c>
    </row>
    <row r="29">
      <c r="A29" s="19">
        <v>17.0</v>
      </c>
      <c r="B29" s="20" t="s">
        <v>45</v>
      </c>
      <c r="C29" s="21" t="s">
        <v>46</v>
      </c>
      <c r="D29" s="19">
        <v>3.0</v>
      </c>
      <c r="E29" s="22">
        <f t="shared" si="1"/>
        <v>0.3</v>
      </c>
      <c r="F29" s="19">
        <v>3.0</v>
      </c>
      <c r="G29" s="19">
        <v>4.0</v>
      </c>
      <c r="H29" s="23">
        <f t="shared" si="2"/>
        <v>7</v>
      </c>
    </row>
    <row r="30">
      <c r="A30" s="19">
        <v>18.0</v>
      </c>
      <c r="B30" s="20" t="s">
        <v>47</v>
      </c>
      <c r="C30" s="21" t="s">
        <v>33</v>
      </c>
      <c r="D30" s="19">
        <v>0.0</v>
      </c>
      <c r="E30" s="22">
        <f t="shared" si="1"/>
        <v>0</v>
      </c>
      <c r="F30" s="19">
        <v>0.0</v>
      </c>
      <c r="G30" s="19">
        <v>2.0</v>
      </c>
      <c r="H30" s="23">
        <f t="shared" si="2"/>
        <v>2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  <c r="I5" s="5"/>
    </row>
    <row r="6">
      <c r="A6" s="6"/>
      <c r="B6" s="6"/>
      <c r="C6" s="6"/>
      <c r="D6" s="6"/>
      <c r="E6" s="6"/>
      <c r="F6" s="6"/>
      <c r="G6" s="6"/>
      <c r="H6" s="6"/>
      <c r="I6" s="6"/>
    </row>
    <row r="7">
      <c r="A7" s="6" t="s">
        <v>5</v>
      </c>
    </row>
    <row r="8">
      <c r="A8" s="6" t="s">
        <v>48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24"/>
      <c r="H11" s="10"/>
      <c r="I11" s="8" t="s">
        <v>13</v>
      </c>
      <c r="K11" s="11" t="s">
        <v>14</v>
      </c>
      <c r="L11" s="11">
        <v>11.0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49</v>
      </c>
      <c r="H12" s="13" t="s">
        <v>17</v>
      </c>
      <c r="I12" s="12"/>
    </row>
    <row r="13">
      <c r="A13" s="19">
        <v>1.0</v>
      </c>
      <c r="B13" s="15" t="s">
        <v>50</v>
      </c>
      <c r="C13" s="16" t="s">
        <v>19</v>
      </c>
      <c r="D13" s="14">
        <v>11.0</v>
      </c>
      <c r="E13" s="17">
        <f t="shared" ref="E13:E25" si="1">D13/$L$11</f>
        <v>1</v>
      </c>
      <c r="F13" s="14">
        <v>11.0</v>
      </c>
      <c r="G13" s="14">
        <v>95.0</v>
      </c>
      <c r="H13" s="14">
        <v>30.0</v>
      </c>
      <c r="I13" s="18">
        <f t="shared" ref="I13:I25" si="2">F13+G13+H13</f>
        <v>136</v>
      </c>
    </row>
    <row r="14">
      <c r="A14" s="19">
        <v>2.0</v>
      </c>
      <c r="B14" s="15" t="s">
        <v>51</v>
      </c>
      <c r="C14" s="16" t="s">
        <v>52</v>
      </c>
      <c r="D14" s="14">
        <v>3.0</v>
      </c>
      <c r="E14" s="17">
        <f t="shared" si="1"/>
        <v>0.2727272727</v>
      </c>
      <c r="F14" s="14">
        <v>3.0</v>
      </c>
      <c r="G14" s="14">
        <v>95.0</v>
      </c>
      <c r="H14" s="14">
        <v>30.0</v>
      </c>
      <c r="I14" s="18">
        <f t="shared" si="2"/>
        <v>128</v>
      </c>
    </row>
    <row r="15">
      <c r="A15" s="19">
        <v>3.0</v>
      </c>
      <c r="B15" s="15" t="s">
        <v>53</v>
      </c>
      <c r="C15" s="16" t="s">
        <v>35</v>
      </c>
      <c r="D15" s="14">
        <v>9.0</v>
      </c>
      <c r="E15" s="17">
        <f t="shared" si="1"/>
        <v>0.8181818182</v>
      </c>
      <c r="F15" s="14">
        <v>9.0</v>
      </c>
      <c r="G15" s="14">
        <v>94.0</v>
      </c>
      <c r="H15" s="14">
        <v>10.0</v>
      </c>
      <c r="I15" s="18">
        <f t="shared" si="2"/>
        <v>113</v>
      </c>
    </row>
    <row r="16">
      <c r="A16" s="19">
        <v>4.0</v>
      </c>
      <c r="B16" s="15" t="s">
        <v>54</v>
      </c>
      <c r="C16" s="16" t="s">
        <v>33</v>
      </c>
      <c r="D16" s="14">
        <v>5.0</v>
      </c>
      <c r="E16" s="17">
        <f t="shared" si="1"/>
        <v>0.4545454545</v>
      </c>
      <c r="F16" s="14">
        <v>5.0</v>
      </c>
      <c r="G16" s="14">
        <v>75.0</v>
      </c>
      <c r="H16" s="14">
        <v>30.0</v>
      </c>
      <c r="I16" s="18">
        <f t="shared" si="2"/>
        <v>110</v>
      </c>
    </row>
    <row r="17">
      <c r="A17" s="19">
        <v>5.0</v>
      </c>
      <c r="B17" s="15" t="s">
        <v>55</v>
      </c>
      <c r="C17" s="16" t="s">
        <v>28</v>
      </c>
      <c r="D17" s="14">
        <v>9.0</v>
      </c>
      <c r="E17" s="17">
        <f t="shared" si="1"/>
        <v>0.8181818182</v>
      </c>
      <c r="F17" s="14">
        <v>9.0</v>
      </c>
      <c r="G17" s="14">
        <v>63.0</v>
      </c>
      <c r="H17" s="14">
        <v>30.0</v>
      </c>
      <c r="I17" s="18">
        <f t="shared" si="2"/>
        <v>102</v>
      </c>
    </row>
    <row r="18">
      <c r="A18" s="19">
        <v>6.0</v>
      </c>
      <c r="B18" s="20" t="s">
        <v>56</v>
      </c>
      <c r="C18" s="21" t="s">
        <v>26</v>
      </c>
      <c r="D18" s="19">
        <v>8.0</v>
      </c>
      <c r="E18" s="22">
        <f t="shared" si="1"/>
        <v>0.7272727273</v>
      </c>
      <c r="F18" s="19">
        <v>8.0</v>
      </c>
      <c r="G18" s="19">
        <v>69.0</v>
      </c>
      <c r="H18" s="19">
        <v>15.0</v>
      </c>
      <c r="I18" s="23">
        <f t="shared" si="2"/>
        <v>92</v>
      </c>
    </row>
    <row r="19">
      <c r="A19" s="19">
        <v>7.0</v>
      </c>
      <c r="B19" s="20" t="s">
        <v>57</v>
      </c>
      <c r="C19" s="21" t="s">
        <v>35</v>
      </c>
      <c r="D19" s="19">
        <v>10.0</v>
      </c>
      <c r="E19" s="22">
        <f t="shared" si="1"/>
        <v>0.9090909091</v>
      </c>
      <c r="F19" s="19">
        <v>10.0</v>
      </c>
      <c r="G19" s="19">
        <v>50.0</v>
      </c>
      <c r="H19" s="19">
        <v>25.0</v>
      </c>
      <c r="I19" s="23">
        <f t="shared" si="2"/>
        <v>85</v>
      </c>
    </row>
    <row r="20">
      <c r="A20" s="19">
        <v>8.0</v>
      </c>
      <c r="B20" s="20" t="s">
        <v>58</v>
      </c>
      <c r="C20" s="21" t="s">
        <v>22</v>
      </c>
      <c r="D20" s="19">
        <v>3.0</v>
      </c>
      <c r="E20" s="22">
        <f t="shared" si="1"/>
        <v>0.2727272727</v>
      </c>
      <c r="F20" s="19">
        <v>3.0</v>
      </c>
      <c r="G20" s="19">
        <v>45.0</v>
      </c>
      <c r="H20" s="19">
        <v>15.0</v>
      </c>
      <c r="I20" s="23">
        <f t="shared" si="2"/>
        <v>63</v>
      </c>
    </row>
    <row r="21">
      <c r="A21" s="19">
        <v>9.0</v>
      </c>
      <c r="B21" s="20" t="s">
        <v>59</v>
      </c>
      <c r="C21" s="21" t="s">
        <v>19</v>
      </c>
      <c r="D21" s="19">
        <v>4.0</v>
      </c>
      <c r="E21" s="22">
        <f t="shared" si="1"/>
        <v>0.3636363636</v>
      </c>
      <c r="F21" s="19">
        <v>4.0</v>
      </c>
      <c r="G21" s="19">
        <v>0.0</v>
      </c>
      <c r="H21" s="19">
        <v>20.0</v>
      </c>
      <c r="I21" s="23">
        <f t="shared" si="2"/>
        <v>24</v>
      </c>
    </row>
    <row r="22">
      <c r="A22" s="19">
        <v>10.0</v>
      </c>
      <c r="B22" s="20" t="s">
        <v>60</v>
      </c>
      <c r="C22" s="21" t="s">
        <v>61</v>
      </c>
      <c r="D22" s="19">
        <v>3.0</v>
      </c>
      <c r="E22" s="22">
        <f t="shared" si="1"/>
        <v>0.2727272727</v>
      </c>
      <c r="F22" s="19">
        <v>3.0</v>
      </c>
      <c r="G22" s="19">
        <v>0.0</v>
      </c>
      <c r="H22" s="19">
        <v>20.0</v>
      </c>
      <c r="I22" s="23">
        <f t="shared" si="2"/>
        <v>23</v>
      </c>
    </row>
    <row r="23">
      <c r="A23" s="19">
        <v>11.0</v>
      </c>
      <c r="B23" s="20" t="s">
        <v>62</v>
      </c>
      <c r="C23" s="21" t="s">
        <v>40</v>
      </c>
      <c r="D23" s="19">
        <v>5.0</v>
      </c>
      <c r="E23" s="22">
        <f t="shared" si="1"/>
        <v>0.4545454545</v>
      </c>
      <c r="F23" s="19">
        <v>5.0</v>
      </c>
      <c r="G23" s="19">
        <v>0.0</v>
      </c>
      <c r="H23" s="19">
        <v>15.0</v>
      </c>
      <c r="I23" s="23">
        <f t="shared" si="2"/>
        <v>20</v>
      </c>
    </row>
    <row r="24">
      <c r="A24" s="19">
        <v>12.0</v>
      </c>
      <c r="B24" s="20" t="s">
        <v>63</v>
      </c>
      <c r="C24" s="21" t="s">
        <v>19</v>
      </c>
      <c r="D24" s="19">
        <v>5.0</v>
      </c>
      <c r="E24" s="22">
        <f t="shared" si="1"/>
        <v>0.4545454545</v>
      </c>
      <c r="F24" s="19">
        <v>5.0</v>
      </c>
      <c r="G24" s="19">
        <v>0.0</v>
      </c>
      <c r="H24" s="19">
        <v>15.0</v>
      </c>
      <c r="I24" s="23">
        <f t="shared" si="2"/>
        <v>20</v>
      </c>
    </row>
    <row r="25">
      <c r="A25" s="19">
        <v>13.0</v>
      </c>
      <c r="B25" s="20" t="s">
        <v>64</v>
      </c>
      <c r="C25" s="21" t="s">
        <v>40</v>
      </c>
      <c r="D25" s="19">
        <v>5.0</v>
      </c>
      <c r="E25" s="22">
        <f t="shared" si="1"/>
        <v>0.4545454545</v>
      </c>
      <c r="F25" s="19">
        <v>5.0</v>
      </c>
      <c r="G25" s="19">
        <v>0.0</v>
      </c>
      <c r="H25" s="19">
        <v>10.0</v>
      </c>
      <c r="I25" s="23">
        <f t="shared" si="2"/>
        <v>15</v>
      </c>
    </row>
  </sheetData>
  <mergeCells count="14">
    <mergeCell ref="A9:I9"/>
    <mergeCell ref="A11:A12"/>
    <mergeCell ref="B11:B12"/>
    <mergeCell ref="C11:C12"/>
    <mergeCell ref="D11:E11"/>
    <mergeCell ref="F11:H11"/>
    <mergeCell ref="I11:I12"/>
    <mergeCell ref="A1:I1"/>
    <mergeCell ref="A2:I2"/>
    <mergeCell ref="A3:I3"/>
    <mergeCell ref="A4:I4"/>
    <mergeCell ref="A5:I5"/>
    <mergeCell ref="A7:I7"/>
    <mergeCell ref="A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65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</v>
      </c>
      <c r="K11" s="11">
        <v>12.0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  <c r="J12" s="11"/>
      <c r="K12" s="11"/>
    </row>
    <row r="13">
      <c r="A13" s="14">
        <v>1.0</v>
      </c>
      <c r="B13" s="15" t="s">
        <v>66</v>
      </c>
      <c r="C13" s="16" t="s">
        <v>67</v>
      </c>
      <c r="D13" s="14">
        <v>12.0</v>
      </c>
      <c r="E13" s="17">
        <f t="shared" ref="E13:E16" si="1">D13/$K$11</f>
        <v>1</v>
      </c>
      <c r="F13" s="14">
        <v>12.0</v>
      </c>
      <c r="G13" s="14">
        <v>86.0</v>
      </c>
      <c r="H13" s="18">
        <f t="shared" ref="H13:H16" si="2">F13+G13</f>
        <v>98</v>
      </c>
    </row>
    <row r="14">
      <c r="A14" s="14">
        <v>2.0</v>
      </c>
      <c r="B14" s="15" t="s">
        <v>68</v>
      </c>
      <c r="C14" s="16" t="s">
        <v>28</v>
      </c>
      <c r="D14" s="14">
        <v>9.0</v>
      </c>
      <c r="E14" s="17">
        <f t="shared" si="1"/>
        <v>0.75</v>
      </c>
      <c r="F14" s="14">
        <v>9.0</v>
      </c>
      <c r="G14" s="14">
        <v>64.0</v>
      </c>
      <c r="H14" s="18">
        <f t="shared" si="2"/>
        <v>73</v>
      </c>
    </row>
    <row r="15">
      <c r="A15" s="14">
        <v>3.0</v>
      </c>
      <c r="B15" s="15" t="s">
        <v>69</v>
      </c>
      <c r="C15" s="16" t="s">
        <v>52</v>
      </c>
      <c r="D15" s="14">
        <v>12.0</v>
      </c>
      <c r="E15" s="17">
        <f t="shared" si="1"/>
        <v>1</v>
      </c>
      <c r="F15" s="14">
        <v>12.0</v>
      </c>
      <c r="G15" s="14">
        <v>52.0</v>
      </c>
      <c r="H15" s="18">
        <f t="shared" si="2"/>
        <v>64</v>
      </c>
    </row>
    <row r="16">
      <c r="A16" s="14">
        <v>4.0</v>
      </c>
      <c r="B16" s="15" t="s">
        <v>70</v>
      </c>
      <c r="C16" s="16" t="s">
        <v>28</v>
      </c>
      <c r="D16" s="14">
        <v>9.0</v>
      </c>
      <c r="E16" s="17">
        <f t="shared" si="1"/>
        <v>0.75</v>
      </c>
      <c r="F16" s="14">
        <v>9.0</v>
      </c>
      <c r="G16" s="14">
        <v>54.0</v>
      </c>
      <c r="H16" s="18">
        <f t="shared" si="2"/>
        <v>63</v>
      </c>
    </row>
    <row r="17">
      <c r="A17" s="14">
        <v>5.0</v>
      </c>
      <c r="B17" s="15" t="s">
        <v>71</v>
      </c>
      <c r="C17" s="16" t="s">
        <v>28</v>
      </c>
      <c r="D17" s="14">
        <v>6.0</v>
      </c>
      <c r="E17" s="17">
        <v>0.5</v>
      </c>
      <c r="F17" s="14">
        <v>6.0</v>
      </c>
      <c r="G17" s="14">
        <v>50.0</v>
      </c>
      <c r="H17" s="18">
        <v>56.0</v>
      </c>
      <c r="M17" s="25"/>
    </row>
    <row r="18">
      <c r="A18" s="19">
        <v>6.0</v>
      </c>
      <c r="B18" s="20" t="s">
        <v>72</v>
      </c>
      <c r="C18" s="21" t="s">
        <v>52</v>
      </c>
      <c r="D18" s="19">
        <v>12.0</v>
      </c>
      <c r="E18" s="22">
        <v>1.0</v>
      </c>
      <c r="F18" s="19">
        <v>12.0</v>
      </c>
      <c r="G18" s="19">
        <v>44.0</v>
      </c>
      <c r="H18" s="23">
        <v>56.0</v>
      </c>
    </row>
    <row r="19">
      <c r="A19" s="19">
        <v>7.0</v>
      </c>
      <c r="B19" s="20" t="s">
        <v>73</v>
      </c>
      <c r="C19" s="21" t="s">
        <v>52</v>
      </c>
      <c r="D19" s="19">
        <v>9.0</v>
      </c>
      <c r="E19" s="22">
        <f t="shared" ref="E19:E26" si="3">D19/$K$11</f>
        <v>0.75</v>
      </c>
      <c r="F19" s="19">
        <v>9.0</v>
      </c>
      <c r="G19" s="19">
        <v>42.0</v>
      </c>
      <c r="H19" s="23">
        <f t="shared" ref="H19:H26" si="4">F19+G19</f>
        <v>51</v>
      </c>
    </row>
    <row r="20">
      <c r="A20" s="19">
        <v>8.0</v>
      </c>
      <c r="B20" s="20" t="s">
        <v>74</v>
      </c>
      <c r="C20" s="21" t="s">
        <v>75</v>
      </c>
      <c r="D20" s="19">
        <v>11.0</v>
      </c>
      <c r="E20" s="22">
        <f t="shared" si="3"/>
        <v>0.9166666667</v>
      </c>
      <c r="F20" s="19">
        <v>11.0</v>
      </c>
      <c r="G20" s="19">
        <v>38.0</v>
      </c>
      <c r="H20" s="23">
        <f t="shared" si="4"/>
        <v>49</v>
      </c>
    </row>
    <row r="21">
      <c r="A21" s="19">
        <v>9.0</v>
      </c>
      <c r="B21" s="20" t="s">
        <v>76</v>
      </c>
      <c r="C21" s="21" t="s">
        <v>75</v>
      </c>
      <c r="D21" s="19">
        <v>11.0</v>
      </c>
      <c r="E21" s="22">
        <f t="shared" si="3"/>
        <v>0.9166666667</v>
      </c>
      <c r="F21" s="19">
        <v>11.0</v>
      </c>
      <c r="G21" s="19">
        <v>22.0</v>
      </c>
      <c r="H21" s="23">
        <f t="shared" si="4"/>
        <v>33</v>
      </c>
    </row>
    <row r="22">
      <c r="A22" s="19">
        <v>10.0</v>
      </c>
      <c r="B22" s="20" t="s">
        <v>77</v>
      </c>
      <c r="C22" s="21" t="s">
        <v>61</v>
      </c>
      <c r="D22" s="19">
        <v>9.0</v>
      </c>
      <c r="E22" s="22">
        <f t="shared" si="3"/>
        <v>0.75</v>
      </c>
      <c r="F22" s="19">
        <v>9.0</v>
      </c>
      <c r="G22" s="19">
        <v>20.0</v>
      </c>
      <c r="H22" s="23">
        <f t="shared" si="4"/>
        <v>29</v>
      </c>
    </row>
    <row r="23">
      <c r="A23" s="19">
        <v>11.0</v>
      </c>
      <c r="B23" s="20" t="s">
        <v>78</v>
      </c>
      <c r="C23" s="21" t="s">
        <v>30</v>
      </c>
      <c r="D23" s="19">
        <v>9.0</v>
      </c>
      <c r="E23" s="22">
        <f t="shared" si="3"/>
        <v>0.75</v>
      </c>
      <c r="F23" s="19">
        <v>9.0</v>
      </c>
      <c r="G23" s="19">
        <v>16.0</v>
      </c>
      <c r="H23" s="23">
        <f t="shared" si="4"/>
        <v>25</v>
      </c>
    </row>
    <row r="24">
      <c r="A24" s="19">
        <v>12.0</v>
      </c>
      <c r="B24" s="20" t="s">
        <v>79</v>
      </c>
      <c r="C24" s="21" t="s">
        <v>80</v>
      </c>
      <c r="D24" s="19">
        <v>4.0</v>
      </c>
      <c r="E24" s="22">
        <f t="shared" si="3"/>
        <v>0.3333333333</v>
      </c>
      <c r="F24" s="19">
        <v>4.0</v>
      </c>
      <c r="G24" s="19">
        <v>20.0</v>
      </c>
      <c r="H24" s="23">
        <f t="shared" si="4"/>
        <v>24</v>
      </c>
    </row>
    <row r="25">
      <c r="A25" s="19">
        <v>13.0</v>
      </c>
      <c r="B25" s="20" t="s">
        <v>81</v>
      </c>
      <c r="C25" s="21" t="s">
        <v>80</v>
      </c>
      <c r="D25" s="19">
        <v>0.0</v>
      </c>
      <c r="E25" s="22">
        <f t="shared" si="3"/>
        <v>0</v>
      </c>
      <c r="F25" s="19">
        <v>0.0</v>
      </c>
      <c r="G25" s="19">
        <v>20.0</v>
      </c>
      <c r="H25" s="23">
        <f t="shared" si="4"/>
        <v>20</v>
      </c>
    </row>
    <row r="26">
      <c r="A26" s="19">
        <v>14.0</v>
      </c>
      <c r="B26" s="20" t="s">
        <v>82</v>
      </c>
      <c r="C26" s="21" t="s">
        <v>61</v>
      </c>
      <c r="D26" s="19">
        <v>4.0</v>
      </c>
      <c r="E26" s="22">
        <f t="shared" si="3"/>
        <v>0.3333333333</v>
      </c>
      <c r="F26" s="19">
        <v>4.0</v>
      </c>
      <c r="G26" s="19">
        <v>12.0</v>
      </c>
      <c r="H26" s="23">
        <f t="shared" si="4"/>
        <v>16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83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</v>
      </c>
      <c r="K11" s="11">
        <v>8.0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</row>
    <row r="13">
      <c r="A13" s="14">
        <v>1.0</v>
      </c>
      <c r="B13" s="15" t="s">
        <v>84</v>
      </c>
      <c r="C13" s="16" t="s">
        <v>85</v>
      </c>
      <c r="D13" s="14">
        <v>8.0</v>
      </c>
      <c r="E13" s="17">
        <f t="shared" ref="E13:E26" si="1">D13/$K$11</f>
        <v>1</v>
      </c>
      <c r="F13" s="14">
        <v>8.0</v>
      </c>
      <c r="G13" s="14">
        <v>63.0</v>
      </c>
      <c r="H13" s="18">
        <f t="shared" ref="H13:H26" si="2">G13+F13</f>
        <v>71</v>
      </c>
    </row>
    <row r="14">
      <c r="A14" s="14">
        <v>2.0</v>
      </c>
      <c r="B14" s="15" t="s">
        <v>86</v>
      </c>
      <c r="C14" s="16" t="s">
        <v>24</v>
      </c>
      <c r="D14" s="14">
        <v>5.0</v>
      </c>
      <c r="E14" s="17">
        <f t="shared" si="1"/>
        <v>0.625</v>
      </c>
      <c r="F14" s="14">
        <v>5.0</v>
      </c>
      <c r="G14" s="14">
        <v>60.0</v>
      </c>
      <c r="H14" s="18">
        <f t="shared" si="2"/>
        <v>65</v>
      </c>
    </row>
    <row r="15">
      <c r="A15" s="14">
        <v>3.0</v>
      </c>
      <c r="B15" s="15" t="s">
        <v>87</v>
      </c>
      <c r="C15" s="16" t="s">
        <v>30</v>
      </c>
      <c r="D15" s="14">
        <v>6.0</v>
      </c>
      <c r="E15" s="17">
        <f t="shared" si="1"/>
        <v>0.75</v>
      </c>
      <c r="F15" s="14">
        <v>6.0</v>
      </c>
      <c r="G15" s="14">
        <v>47.0</v>
      </c>
      <c r="H15" s="18">
        <f t="shared" si="2"/>
        <v>53</v>
      </c>
    </row>
    <row r="16">
      <c r="A16" s="14">
        <v>4.0</v>
      </c>
      <c r="B16" s="15" t="s">
        <v>88</v>
      </c>
      <c r="C16" s="16" t="s">
        <v>89</v>
      </c>
      <c r="D16" s="14">
        <v>5.0</v>
      </c>
      <c r="E16" s="17">
        <f t="shared" si="1"/>
        <v>0.625</v>
      </c>
      <c r="F16" s="14">
        <v>5.0</v>
      </c>
      <c r="G16" s="14">
        <v>47.0</v>
      </c>
      <c r="H16" s="18">
        <f t="shared" si="2"/>
        <v>52</v>
      </c>
    </row>
    <row r="17">
      <c r="A17" s="14">
        <v>5.0</v>
      </c>
      <c r="B17" s="15" t="s">
        <v>90</v>
      </c>
      <c r="C17" s="16" t="s">
        <v>22</v>
      </c>
      <c r="D17" s="14">
        <v>4.0</v>
      </c>
      <c r="E17" s="17">
        <f t="shared" si="1"/>
        <v>0.5</v>
      </c>
      <c r="F17" s="14">
        <v>4.0</v>
      </c>
      <c r="G17" s="14">
        <v>47.0</v>
      </c>
      <c r="H17" s="18">
        <f t="shared" si="2"/>
        <v>51</v>
      </c>
    </row>
    <row r="18">
      <c r="A18" s="19">
        <v>6.0</v>
      </c>
      <c r="B18" s="20" t="s">
        <v>91</v>
      </c>
      <c r="C18" s="21" t="s">
        <v>33</v>
      </c>
      <c r="D18" s="19">
        <v>5.0</v>
      </c>
      <c r="E18" s="22">
        <f t="shared" si="1"/>
        <v>0.625</v>
      </c>
      <c r="F18" s="19">
        <v>5.0</v>
      </c>
      <c r="G18" s="19">
        <v>43.0</v>
      </c>
      <c r="H18" s="23">
        <f t="shared" si="2"/>
        <v>48</v>
      </c>
    </row>
    <row r="19">
      <c r="A19" s="19">
        <v>7.0</v>
      </c>
      <c r="B19" s="20" t="s">
        <v>92</v>
      </c>
      <c r="C19" s="21" t="s">
        <v>24</v>
      </c>
      <c r="D19" s="19">
        <v>8.0</v>
      </c>
      <c r="E19" s="22">
        <f t="shared" si="1"/>
        <v>1</v>
      </c>
      <c r="F19" s="19">
        <v>8.0</v>
      </c>
      <c r="G19" s="19">
        <v>40.0</v>
      </c>
      <c r="H19" s="23">
        <f t="shared" si="2"/>
        <v>48</v>
      </c>
    </row>
    <row r="20">
      <c r="A20" s="19">
        <v>8.0</v>
      </c>
      <c r="B20" s="20" t="s">
        <v>93</v>
      </c>
      <c r="C20" s="21" t="s">
        <v>94</v>
      </c>
      <c r="D20" s="19">
        <v>4.0</v>
      </c>
      <c r="E20" s="22">
        <f t="shared" si="1"/>
        <v>0.5</v>
      </c>
      <c r="F20" s="19">
        <v>4.0</v>
      </c>
      <c r="G20" s="19">
        <v>40.0</v>
      </c>
      <c r="H20" s="23">
        <f t="shared" si="2"/>
        <v>44</v>
      </c>
    </row>
    <row r="21">
      <c r="A21" s="19">
        <v>9.0</v>
      </c>
      <c r="B21" s="20" t="s">
        <v>95</v>
      </c>
      <c r="C21" s="21" t="s">
        <v>96</v>
      </c>
      <c r="D21" s="19">
        <v>7.0</v>
      </c>
      <c r="E21" s="22">
        <f t="shared" si="1"/>
        <v>0.875</v>
      </c>
      <c r="F21" s="19">
        <v>7.0</v>
      </c>
      <c r="G21" s="19">
        <v>33.0</v>
      </c>
      <c r="H21" s="23">
        <f t="shared" si="2"/>
        <v>40</v>
      </c>
    </row>
    <row r="22">
      <c r="A22" s="19">
        <v>10.0</v>
      </c>
      <c r="B22" s="20" t="s">
        <v>97</v>
      </c>
      <c r="C22" s="21" t="s">
        <v>61</v>
      </c>
      <c r="D22" s="19">
        <v>5.0</v>
      </c>
      <c r="E22" s="22">
        <f t="shared" si="1"/>
        <v>0.625</v>
      </c>
      <c r="F22" s="19">
        <v>5.0</v>
      </c>
      <c r="G22" s="19">
        <v>33.0</v>
      </c>
      <c r="H22" s="23">
        <f t="shared" si="2"/>
        <v>38</v>
      </c>
    </row>
    <row r="23">
      <c r="A23" s="19">
        <v>11.0</v>
      </c>
      <c r="B23" s="20" t="s">
        <v>98</v>
      </c>
      <c r="C23" s="21" t="s">
        <v>89</v>
      </c>
      <c r="D23" s="19">
        <v>8.0</v>
      </c>
      <c r="E23" s="22">
        <f t="shared" si="1"/>
        <v>1</v>
      </c>
      <c r="F23" s="19">
        <v>8.0</v>
      </c>
      <c r="G23" s="19">
        <v>27.0</v>
      </c>
      <c r="H23" s="23">
        <f t="shared" si="2"/>
        <v>35</v>
      </c>
    </row>
    <row r="24">
      <c r="A24" s="19">
        <v>12.0</v>
      </c>
      <c r="B24" s="20" t="s">
        <v>99</v>
      </c>
      <c r="C24" s="21" t="s">
        <v>94</v>
      </c>
      <c r="D24" s="19">
        <v>6.0</v>
      </c>
      <c r="E24" s="22">
        <f t="shared" si="1"/>
        <v>0.75</v>
      </c>
      <c r="F24" s="19">
        <v>6.0</v>
      </c>
      <c r="G24" s="19">
        <v>27.0</v>
      </c>
      <c r="H24" s="23">
        <f t="shared" si="2"/>
        <v>33</v>
      </c>
    </row>
    <row r="25">
      <c r="A25" s="19">
        <v>13.0</v>
      </c>
      <c r="B25" s="20" t="s">
        <v>100</v>
      </c>
      <c r="C25" s="21" t="s">
        <v>94</v>
      </c>
      <c r="D25" s="19">
        <v>6.0</v>
      </c>
      <c r="E25" s="22">
        <f t="shared" si="1"/>
        <v>0.75</v>
      </c>
      <c r="F25" s="19">
        <v>6.0</v>
      </c>
      <c r="G25" s="19">
        <v>23.0</v>
      </c>
      <c r="H25" s="23">
        <f t="shared" si="2"/>
        <v>29</v>
      </c>
    </row>
    <row r="26">
      <c r="A26" s="19">
        <v>14.0</v>
      </c>
      <c r="B26" s="20" t="s">
        <v>101</v>
      </c>
      <c r="C26" s="21" t="s">
        <v>85</v>
      </c>
      <c r="D26" s="19">
        <v>6.0</v>
      </c>
      <c r="E26" s="22">
        <f t="shared" si="1"/>
        <v>0.75</v>
      </c>
      <c r="F26" s="19">
        <v>6.0</v>
      </c>
      <c r="G26" s="19">
        <v>23.0</v>
      </c>
      <c r="H26" s="23">
        <f t="shared" si="2"/>
        <v>29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102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</v>
      </c>
      <c r="K11" s="11">
        <v>7.0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</row>
    <row r="13">
      <c r="A13" s="14">
        <v>1.0</v>
      </c>
      <c r="B13" s="15" t="s">
        <v>103</v>
      </c>
      <c r="C13" s="16" t="s">
        <v>67</v>
      </c>
      <c r="D13" s="14">
        <v>7.0</v>
      </c>
      <c r="E13" s="17">
        <f t="shared" ref="E13:E29" si="1">D13/$K$11</f>
        <v>1</v>
      </c>
      <c r="F13" s="14">
        <v>7.0</v>
      </c>
      <c r="G13" s="14">
        <v>60.0</v>
      </c>
      <c r="H13" s="18">
        <f t="shared" ref="H13:H29" si="2">G13+F13</f>
        <v>67</v>
      </c>
    </row>
    <row r="14">
      <c r="A14" s="14">
        <v>2.0</v>
      </c>
      <c r="B14" s="15" t="s">
        <v>104</v>
      </c>
      <c r="C14" s="16" t="s">
        <v>89</v>
      </c>
      <c r="D14" s="14">
        <v>7.0</v>
      </c>
      <c r="E14" s="17">
        <f t="shared" si="1"/>
        <v>1</v>
      </c>
      <c r="F14" s="14">
        <v>7.0</v>
      </c>
      <c r="G14" s="14">
        <v>57.0</v>
      </c>
      <c r="H14" s="18">
        <f t="shared" si="2"/>
        <v>64</v>
      </c>
    </row>
    <row r="15">
      <c r="A15" s="14">
        <v>3.0</v>
      </c>
      <c r="B15" s="15" t="s">
        <v>105</v>
      </c>
      <c r="C15" s="16" t="s">
        <v>89</v>
      </c>
      <c r="D15" s="14">
        <v>6.0</v>
      </c>
      <c r="E15" s="17">
        <f t="shared" si="1"/>
        <v>0.8571428571</v>
      </c>
      <c r="F15" s="14">
        <v>6.0</v>
      </c>
      <c r="G15" s="14">
        <v>54.0</v>
      </c>
      <c r="H15" s="18">
        <f t="shared" si="2"/>
        <v>60</v>
      </c>
    </row>
    <row r="16">
      <c r="A16" s="14">
        <v>4.0</v>
      </c>
      <c r="B16" s="15" t="s">
        <v>106</v>
      </c>
      <c r="C16" s="16" t="s">
        <v>30</v>
      </c>
      <c r="D16" s="14">
        <v>6.0</v>
      </c>
      <c r="E16" s="17">
        <f t="shared" si="1"/>
        <v>0.8571428571</v>
      </c>
      <c r="F16" s="14">
        <v>6.0</v>
      </c>
      <c r="G16" s="14">
        <v>51.0</v>
      </c>
      <c r="H16" s="18">
        <f t="shared" si="2"/>
        <v>57</v>
      </c>
    </row>
    <row r="17">
      <c r="A17" s="14">
        <v>5.0</v>
      </c>
      <c r="B17" s="15" t="s">
        <v>107</v>
      </c>
      <c r="C17" s="16" t="s">
        <v>85</v>
      </c>
      <c r="D17" s="14">
        <v>7.0</v>
      </c>
      <c r="E17" s="17">
        <f t="shared" si="1"/>
        <v>1</v>
      </c>
      <c r="F17" s="14">
        <v>7.0</v>
      </c>
      <c r="G17" s="14">
        <v>49.0</v>
      </c>
      <c r="H17" s="18">
        <f t="shared" si="2"/>
        <v>56</v>
      </c>
    </row>
    <row r="18">
      <c r="A18" s="19">
        <v>6.0</v>
      </c>
      <c r="B18" s="20" t="s">
        <v>108</v>
      </c>
      <c r="C18" s="21" t="s">
        <v>80</v>
      </c>
      <c r="D18" s="19">
        <v>0.0</v>
      </c>
      <c r="E18" s="22">
        <f t="shared" si="1"/>
        <v>0</v>
      </c>
      <c r="F18" s="19">
        <v>0.0</v>
      </c>
      <c r="G18" s="19">
        <v>54.0</v>
      </c>
      <c r="H18" s="23">
        <f t="shared" si="2"/>
        <v>54</v>
      </c>
    </row>
    <row r="19">
      <c r="A19" s="19">
        <v>7.0</v>
      </c>
      <c r="B19" s="20" t="s">
        <v>109</v>
      </c>
      <c r="C19" s="21" t="s">
        <v>89</v>
      </c>
      <c r="D19" s="19">
        <v>4.0</v>
      </c>
      <c r="E19" s="22">
        <f t="shared" si="1"/>
        <v>0.5714285714</v>
      </c>
      <c r="F19" s="19">
        <v>4.0</v>
      </c>
      <c r="G19" s="19">
        <v>46.0</v>
      </c>
      <c r="H19" s="23">
        <f t="shared" si="2"/>
        <v>50</v>
      </c>
    </row>
    <row r="20">
      <c r="A20" s="19">
        <v>8.0</v>
      </c>
      <c r="B20" s="20" t="s">
        <v>110</v>
      </c>
      <c r="C20" s="21" t="s">
        <v>89</v>
      </c>
      <c r="D20" s="19">
        <v>6.0</v>
      </c>
      <c r="E20" s="22">
        <f t="shared" si="1"/>
        <v>0.8571428571</v>
      </c>
      <c r="F20" s="19">
        <v>6.0</v>
      </c>
      <c r="G20" s="19">
        <v>43.0</v>
      </c>
      <c r="H20" s="23">
        <f t="shared" si="2"/>
        <v>49</v>
      </c>
    </row>
    <row r="21">
      <c r="A21" s="19">
        <v>9.0</v>
      </c>
      <c r="B21" s="20" t="s">
        <v>111</v>
      </c>
      <c r="C21" s="21" t="s">
        <v>61</v>
      </c>
      <c r="D21" s="19">
        <v>6.0</v>
      </c>
      <c r="E21" s="22">
        <f t="shared" si="1"/>
        <v>0.8571428571</v>
      </c>
      <c r="F21" s="19">
        <v>6.0</v>
      </c>
      <c r="G21" s="19">
        <v>42.0</v>
      </c>
      <c r="H21" s="23">
        <f t="shared" si="2"/>
        <v>48</v>
      </c>
    </row>
    <row r="22">
      <c r="A22" s="19">
        <v>10.0</v>
      </c>
      <c r="B22" s="20" t="s">
        <v>112</v>
      </c>
      <c r="C22" s="21" t="s">
        <v>22</v>
      </c>
      <c r="D22" s="19">
        <v>5.0</v>
      </c>
      <c r="E22" s="22">
        <f t="shared" si="1"/>
        <v>0.7142857143</v>
      </c>
      <c r="F22" s="19">
        <v>5.0</v>
      </c>
      <c r="G22" s="19">
        <v>40.0</v>
      </c>
      <c r="H22" s="23">
        <f t="shared" si="2"/>
        <v>45</v>
      </c>
    </row>
    <row r="23">
      <c r="A23" s="19">
        <v>11.0</v>
      </c>
      <c r="B23" s="20" t="s">
        <v>113</v>
      </c>
      <c r="C23" s="21" t="s">
        <v>46</v>
      </c>
      <c r="D23" s="19">
        <v>6.0</v>
      </c>
      <c r="E23" s="22">
        <f t="shared" si="1"/>
        <v>0.8571428571</v>
      </c>
      <c r="F23" s="19">
        <v>6.0</v>
      </c>
      <c r="G23" s="19">
        <v>37.0</v>
      </c>
      <c r="H23" s="23">
        <f t="shared" si="2"/>
        <v>43</v>
      </c>
    </row>
    <row r="24">
      <c r="A24" s="19">
        <v>12.0</v>
      </c>
      <c r="B24" s="20" t="s">
        <v>114</v>
      </c>
      <c r="C24" s="21" t="s">
        <v>80</v>
      </c>
      <c r="D24" s="19">
        <v>7.0</v>
      </c>
      <c r="E24" s="22">
        <f t="shared" si="1"/>
        <v>1</v>
      </c>
      <c r="F24" s="19">
        <v>7.0</v>
      </c>
      <c r="G24" s="19">
        <v>34.0</v>
      </c>
      <c r="H24" s="23">
        <f t="shared" si="2"/>
        <v>41</v>
      </c>
    </row>
    <row r="25">
      <c r="A25" s="19">
        <v>13.0</v>
      </c>
      <c r="B25" s="20" t="s">
        <v>115</v>
      </c>
      <c r="C25" s="21" t="s">
        <v>85</v>
      </c>
      <c r="D25" s="19">
        <v>2.0</v>
      </c>
      <c r="E25" s="22">
        <f t="shared" si="1"/>
        <v>0.2857142857</v>
      </c>
      <c r="F25" s="19">
        <v>2.0</v>
      </c>
      <c r="G25" s="19">
        <v>37.0</v>
      </c>
      <c r="H25" s="23">
        <f t="shared" si="2"/>
        <v>39</v>
      </c>
    </row>
    <row r="26">
      <c r="A26" s="19">
        <v>14.0</v>
      </c>
      <c r="B26" s="20" t="s">
        <v>116</v>
      </c>
      <c r="C26" s="21" t="s">
        <v>30</v>
      </c>
      <c r="D26" s="19">
        <v>6.0</v>
      </c>
      <c r="E26" s="22">
        <f t="shared" si="1"/>
        <v>0.8571428571</v>
      </c>
      <c r="F26" s="19">
        <v>6.0</v>
      </c>
      <c r="G26" s="19">
        <v>31.0</v>
      </c>
      <c r="H26" s="23">
        <f t="shared" si="2"/>
        <v>37</v>
      </c>
    </row>
    <row r="27">
      <c r="A27" s="19">
        <v>15.0</v>
      </c>
      <c r="B27" s="20" t="s">
        <v>117</v>
      </c>
      <c r="C27" s="21" t="s">
        <v>22</v>
      </c>
      <c r="D27" s="19">
        <v>0.0</v>
      </c>
      <c r="E27" s="22">
        <f t="shared" si="1"/>
        <v>0</v>
      </c>
      <c r="F27" s="19">
        <v>0.0</v>
      </c>
      <c r="G27" s="19">
        <v>31.0</v>
      </c>
      <c r="H27" s="23">
        <f t="shared" si="2"/>
        <v>31</v>
      </c>
    </row>
    <row r="28">
      <c r="A28" s="19">
        <v>16.0</v>
      </c>
      <c r="B28" s="20" t="s">
        <v>118</v>
      </c>
      <c r="C28" s="21" t="s">
        <v>94</v>
      </c>
      <c r="D28" s="19">
        <v>1.0</v>
      </c>
      <c r="E28" s="22">
        <f t="shared" si="1"/>
        <v>0.1428571429</v>
      </c>
      <c r="F28" s="19">
        <v>1.0</v>
      </c>
      <c r="G28" s="19">
        <v>29.0</v>
      </c>
      <c r="H28" s="23">
        <f t="shared" si="2"/>
        <v>30</v>
      </c>
    </row>
    <row r="29">
      <c r="A29" s="19">
        <v>17.0</v>
      </c>
      <c r="B29" s="20" t="s">
        <v>119</v>
      </c>
      <c r="C29" s="21" t="s">
        <v>24</v>
      </c>
      <c r="D29" s="19">
        <v>0.0</v>
      </c>
      <c r="E29" s="22">
        <f t="shared" si="1"/>
        <v>0</v>
      </c>
      <c r="F29" s="19">
        <v>0.0</v>
      </c>
      <c r="G29" s="19">
        <v>25.0</v>
      </c>
      <c r="H29" s="23">
        <f t="shared" si="2"/>
        <v>25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26" t="s">
        <v>120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121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</v>
      </c>
      <c r="K11" s="11">
        <v>7.0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</row>
    <row r="13">
      <c r="A13" s="14">
        <v>1.0</v>
      </c>
      <c r="B13" s="27" t="s">
        <v>122</v>
      </c>
      <c r="C13" s="28" t="s">
        <v>85</v>
      </c>
      <c r="D13" s="14">
        <v>5.0</v>
      </c>
      <c r="E13" s="17">
        <f t="shared" ref="E13:E18" si="1">D13/$K$11</f>
        <v>0.7142857143</v>
      </c>
      <c r="F13" s="14">
        <v>5.0</v>
      </c>
      <c r="G13" s="14">
        <v>45.0</v>
      </c>
      <c r="H13" s="18">
        <f t="shared" ref="H13:H18" si="2">G13+F13</f>
        <v>50</v>
      </c>
    </row>
    <row r="14">
      <c r="A14" s="14">
        <v>2.0</v>
      </c>
      <c r="B14" s="15" t="s">
        <v>123</v>
      </c>
      <c r="C14" s="16" t="s">
        <v>67</v>
      </c>
      <c r="D14" s="14">
        <v>5.0</v>
      </c>
      <c r="E14" s="17">
        <f t="shared" si="1"/>
        <v>0.7142857143</v>
      </c>
      <c r="F14" s="14">
        <v>5.0</v>
      </c>
      <c r="G14" s="14">
        <v>45.0</v>
      </c>
      <c r="H14" s="18">
        <f t="shared" si="2"/>
        <v>50</v>
      </c>
    </row>
    <row r="15">
      <c r="A15" s="14">
        <v>3.0</v>
      </c>
      <c r="B15" s="15" t="s">
        <v>124</v>
      </c>
      <c r="C15" s="16" t="s">
        <v>52</v>
      </c>
      <c r="D15" s="14">
        <v>4.0</v>
      </c>
      <c r="E15" s="17">
        <f t="shared" si="1"/>
        <v>0.5714285714</v>
      </c>
      <c r="F15" s="14">
        <v>4.0</v>
      </c>
      <c r="G15" s="14">
        <v>45.0</v>
      </c>
      <c r="H15" s="18">
        <f t="shared" si="2"/>
        <v>49</v>
      </c>
    </row>
    <row r="16">
      <c r="A16" s="14">
        <v>4.0</v>
      </c>
      <c r="B16" s="15" t="s">
        <v>125</v>
      </c>
      <c r="C16" s="28" t="s">
        <v>22</v>
      </c>
      <c r="D16" s="14">
        <v>6.0</v>
      </c>
      <c r="E16" s="17">
        <f t="shared" si="1"/>
        <v>0.8571428571</v>
      </c>
      <c r="F16" s="14">
        <v>6.0</v>
      </c>
      <c r="G16" s="14">
        <v>40.0</v>
      </c>
      <c r="H16" s="18">
        <f t="shared" si="2"/>
        <v>46</v>
      </c>
    </row>
    <row r="17">
      <c r="A17" s="14">
        <v>5.0</v>
      </c>
      <c r="B17" s="15" t="s">
        <v>126</v>
      </c>
      <c r="C17" s="28" t="s">
        <v>127</v>
      </c>
      <c r="D17" s="14">
        <v>4.0</v>
      </c>
      <c r="E17" s="17">
        <f t="shared" si="1"/>
        <v>0.5714285714</v>
      </c>
      <c r="F17" s="14">
        <v>4.0</v>
      </c>
      <c r="G17" s="14">
        <v>35.0</v>
      </c>
      <c r="H17" s="18">
        <f t="shared" si="2"/>
        <v>39</v>
      </c>
    </row>
    <row r="18">
      <c r="A18" s="19">
        <v>6.0</v>
      </c>
      <c r="B18" s="20" t="s">
        <v>128</v>
      </c>
      <c r="C18" s="21" t="s">
        <v>19</v>
      </c>
      <c r="D18" s="19">
        <v>5.0</v>
      </c>
      <c r="E18" s="22">
        <f t="shared" si="1"/>
        <v>0.7142857143</v>
      </c>
      <c r="F18" s="19">
        <v>5.0</v>
      </c>
      <c r="G18" s="19">
        <v>23.0</v>
      </c>
      <c r="H18" s="23">
        <f t="shared" si="2"/>
        <v>28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26" t="s">
        <v>120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129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</v>
      </c>
      <c r="K11" s="11">
        <v>8.0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</row>
    <row r="13">
      <c r="A13" s="14">
        <v>1.0</v>
      </c>
      <c r="B13" s="15" t="s">
        <v>130</v>
      </c>
      <c r="C13" s="16" t="s">
        <v>19</v>
      </c>
      <c r="D13" s="14">
        <v>6.0</v>
      </c>
      <c r="E13" s="17">
        <f t="shared" ref="E13:E22" si="1">D13/$K$11</f>
        <v>0.75</v>
      </c>
      <c r="F13" s="14">
        <v>6.0</v>
      </c>
      <c r="G13" s="14">
        <v>100.0</v>
      </c>
      <c r="H13" s="18">
        <f t="shared" ref="H13:H22" si="2">F13+G13</f>
        <v>106</v>
      </c>
    </row>
    <row r="14">
      <c r="A14" s="14">
        <v>2.0</v>
      </c>
      <c r="B14" s="15" t="s">
        <v>131</v>
      </c>
      <c r="C14" s="16" t="s">
        <v>24</v>
      </c>
      <c r="D14" s="14">
        <v>6.0</v>
      </c>
      <c r="E14" s="17">
        <f t="shared" si="1"/>
        <v>0.75</v>
      </c>
      <c r="F14" s="14">
        <v>6.0</v>
      </c>
      <c r="G14" s="14">
        <v>95.0</v>
      </c>
      <c r="H14" s="18">
        <f t="shared" si="2"/>
        <v>101</v>
      </c>
    </row>
    <row r="15">
      <c r="A15" s="14">
        <v>3.0</v>
      </c>
      <c r="B15" s="15" t="s">
        <v>132</v>
      </c>
      <c r="C15" s="16" t="s">
        <v>67</v>
      </c>
      <c r="D15" s="14">
        <v>7.0</v>
      </c>
      <c r="E15" s="17">
        <f t="shared" si="1"/>
        <v>0.875</v>
      </c>
      <c r="F15" s="14">
        <v>7.0</v>
      </c>
      <c r="G15" s="14">
        <v>85.0</v>
      </c>
      <c r="H15" s="18">
        <f t="shared" si="2"/>
        <v>92</v>
      </c>
    </row>
    <row r="16">
      <c r="A16" s="14">
        <v>4.0</v>
      </c>
      <c r="B16" s="15" t="s">
        <v>133</v>
      </c>
      <c r="C16" s="16" t="s">
        <v>52</v>
      </c>
      <c r="D16" s="14">
        <v>4.0</v>
      </c>
      <c r="E16" s="17">
        <f t="shared" si="1"/>
        <v>0.5</v>
      </c>
      <c r="F16" s="14">
        <v>4.0</v>
      </c>
      <c r="G16" s="14">
        <v>83.0</v>
      </c>
      <c r="H16" s="18">
        <f t="shared" si="2"/>
        <v>87</v>
      </c>
    </row>
    <row r="17">
      <c r="A17" s="14">
        <v>5.0</v>
      </c>
      <c r="B17" s="15" t="s">
        <v>134</v>
      </c>
      <c r="C17" s="16" t="s">
        <v>28</v>
      </c>
      <c r="D17" s="14">
        <v>8.0</v>
      </c>
      <c r="E17" s="17">
        <f t="shared" si="1"/>
        <v>1</v>
      </c>
      <c r="F17" s="14">
        <v>8.0</v>
      </c>
      <c r="G17" s="14">
        <v>70.0</v>
      </c>
      <c r="H17" s="18">
        <f t="shared" si="2"/>
        <v>78</v>
      </c>
    </row>
    <row r="18">
      <c r="A18" s="19">
        <v>6.0</v>
      </c>
      <c r="B18" s="20" t="s">
        <v>135</v>
      </c>
      <c r="C18" s="21" t="s">
        <v>44</v>
      </c>
      <c r="D18" s="19">
        <v>8.0</v>
      </c>
      <c r="E18" s="22">
        <f t="shared" si="1"/>
        <v>1</v>
      </c>
      <c r="F18" s="19">
        <v>8.0</v>
      </c>
      <c r="G18" s="19">
        <v>58.0</v>
      </c>
      <c r="H18" s="23">
        <f t="shared" si="2"/>
        <v>66</v>
      </c>
    </row>
    <row r="19">
      <c r="A19" s="19">
        <v>7.0</v>
      </c>
      <c r="B19" s="20" t="s">
        <v>136</v>
      </c>
      <c r="C19" s="21" t="s">
        <v>19</v>
      </c>
      <c r="D19" s="19">
        <v>6.0</v>
      </c>
      <c r="E19" s="22">
        <f t="shared" si="1"/>
        <v>0.75</v>
      </c>
      <c r="F19" s="19">
        <v>6.0</v>
      </c>
      <c r="G19" s="19">
        <v>50.0</v>
      </c>
      <c r="H19" s="23">
        <f t="shared" si="2"/>
        <v>56</v>
      </c>
    </row>
    <row r="20">
      <c r="A20" s="19">
        <v>8.0</v>
      </c>
      <c r="B20" s="20" t="s">
        <v>137</v>
      </c>
      <c r="C20" s="21" t="s">
        <v>94</v>
      </c>
      <c r="D20" s="19">
        <v>5.0</v>
      </c>
      <c r="E20" s="22">
        <f t="shared" si="1"/>
        <v>0.625</v>
      </c>
      <c r="F20" s="19">
        <v>5.0</v>
      </c>
      <c r="G20" s="19">
        <v>48.0</v>
      </c>
      <c r="H20" s="23">
        <f t="shared" si="2"/>
        <v>53</v>
      </c>
    </row>
    <row r="21">
      <c r="A21" s="19">
        <v>9.0</v>
      </c>
      <c r="B21" s="20" t="s">
        <v>138</v>
      </c>
      <c r="C21" s="21" t="s">
        <v>67</v>
      </c>
      <c r="D21" s="19">
        <v>4.0</v>
      </c>
      <c r="E21" s="22">
        <f t="shared" si="1"/>
        <v>0.5</v>
      </c>
      <c r="F21" s="19">
        <v>4.0</v>
      </c>
      <c r="G21" s="19">
        <v>40.0</v>
      </c>
      <c r="H21" s="23">
        <f t="shared" si="2"/>
        <v>44</v>
      </c>
    </row>
    <row r="22">
      <c r="A22" s="19">
        <v>10.0</v>
      </c>
      <c r="B22" s="20" t="s">
        <v>139</v>
      </c>
      <c r="C22" s="21" t="s">
        <v>94</v>
      </c>
      <c r="D22" s="19">
        <v>1.0</v>
      </c>
      <c r="E22" s="22">
        <f t="shared" si="1"/>
        <v>0.125</v>
      </c>
      <c r="F22" s="19">
        <v>1.0</v>
      </c>
      <c r="G22" s="19">
        <v>43.0</v>
      </c>
      <c r="H22" s="23">
        <f t="shared" si="2"/>
        <v>44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26" t="s">
        <v>120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140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</v>
      </c>
      <c r="K11" s="11">
        <v>9.0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</row>
    <row r="13">
      <c r="A13" s="14">
        <v>1.0</v>
      </c>
      <c r="B13" s="15" t="s">
        <v>141</v>
      </c>
      <c r="C13" s="16" t="s">
        <v>19</v>
      </c>
      <c r="D13" s="14">
        <v>6.0</v>
      </c>
      <c r="E13" s="17">
        <f t="shared" ref="E13:E18" si="1">D13/$K$11</f>
        <v>0.6666666667</v>
      </c>
      <c r="F13" s="14">
        <v>6.0</v>
      </c>
      <c r="G13" s="18">
        <v>87.0</v>
      </c>
      <c r="H13" s="18">
        <f t="shared" ref="H13:H18" si="2">G13+F13</f>
        <v>93</v>
      </c>
    </row>
    <row r="14">
      <c r="A14" s="14">
        <v>2.0</v>
      </c>
      <c r="B14" s="15" t="s">
        <v>142</v>
      </c>
      <c r="C14" s="16" t="s">
        <v>19</v>
      </c>
      <c r="D14" s="14">
        <v>9.0</v>
      </c>
      <c r="E14" s="17">
        <f t="shared" si="1"/>
        <v>1</v>
      </c>
      <c r="F14" s="14">
        <v>9.0</v>
      </c>
      <c r="G14" s="18">
        <v>32.0</v>
      </c>
      <c r="H14" s="18">
        <f t="shared" si="2"/>
        <v>41</v>
      </c>
    </row>
    <row r="15">
      <c r="A15" s="14">
        <v>3.0</v>
      </c>
      <c r="B15" s="15" t="s">
        <v>143</v>
      </c>
      <c r="C15" s="28" t="s">
        <v>61</v>
      </c>
      <c r="D15" s="14">
        <v>6.0</v>
      </c>
      <c r="E15" s="17">
        <f t="shared" si="1"/>
        <v>0.6666666667</v>
      </c>
      <c r="F15" s="14">
        <v>6.0</v>
      </c>
      <c r="G15" s="18">
        <v>27.0</v>
      </c>
      <c r="H15" s="18">
        <f t="shared" si="2"/>
        <v>33</v>
      </c>
    </row>
    <row r="16">
      <c r="A16" s="14">
        <v>4.0</v>
      </c>
      <c r="B16" s="15" t="s">
        <v>144</v>
      </c>
      <c r="C16" s="28" t="s">
        <v>26</v>
      </c>
      <c r="D16" s="14">
        <v>8.0</v>
      </c>
      <c r="E16" s="17">
        <f t="shared" si="1"/>
        <v>0.8888888889</v>
      </c>
      <c r="F16" s="14">
        <v>8.0</v>
      </c>
      <c r="G16" s="18">
        <v>24.0</v>
      </c>
      <c r="H16" s="18">
        <f t="shared" si="2"/>
        <v>32</v>
      </c>
    </row>
    <row r="17">
      <c r="A17" s="14">
        <v>5.0</v>
      </c>
      <c r="B17" s="15" t="s">
        <v>145</v>
      </c>
      <c r="C17" s="28" t="s">
        <v>22</v>
      </c>
      <c r="D17" s="14">
        <v>8.0</v>
      </c>
      <c r="E17" s="17">
        <f t="shared" si="1"/>
        <v>0.8888888889</v>
      </c>
      <c r="F17" s="14">
        <v>8.0</v>
      </c>
      <c r="G17" s="18">
        <v>16.0</v>
      </c>
      <c r="H17" s="18">
        <f t="shared" si="2"/>
        <v>24</v>
      </c>
    </row>
    <row r="18">
      <c r="A18" s="19">
        <v>6.0</v>
      </c>
      <c r="B18" s="20" t="s">
        <v>146</v>
      </c>
      <c r="C18" s="21" t="s">
        <v>80</v>
      </c>
      <c r="D18" s="19">
        <v>0.0</v>
      </c>
      <c r="E18" s="22">
        <f t="shared" si="1"/>
        <v>0</v>
      </c>
      <c r="F18" s="19">
        <v>0.0</v>
      </c>
      <c r="G18" s="23">
        <v>19.0</v>
      </c>
      <c r="H18" s="23">
        <f t="shared" si="2"/>
        <v>19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5"/>
  </cols>
  <sheetData>
    <row r="1">
      <c r="A1" s="26" t="s">
        <v>120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</row>
    <row r="6">
      <c r="A6" s="6"/>
      <c r="B6" s="6"/>
      <c r="C6" s="6"/>
      <c r="D6" s="6"/>
      <c r="E6" s="6"/>
      <c r="F6" s="6"/>
      <c r="G6" s="6"/>
      <c r="H6" s="6"/>
    </row>
    <row r="7">
      <c r="A7" s="6" t="s">
        <v>5</v>
      </c>
    </row>
    <row r="8">
      <c r="A8" s="6" t="s">
        <v>147</v>
      </c>
    </row>
    <row r="9">
      <c r="A9" s="6" t="s">
        <v>7</v>
      </c>
    </row>
    <row r="10">
      <c r="A10" s="7"/>
    </row>
    <row r="11">
      <c r="A11" s="8" t="s">
        <v>8</v>
      </c>
      <c r="B11" s="8" t="s">
        <v>9</v>
      </c>
      <c r="C11" s="8" t="s">
        <v>10</v>
      </c>
      <c r="D11" s="9" t="s">
        <v>11</v>
      </c>
      <c r="E11" s="10"/>
      <c r="F11" s="9" t="s">
        <v>12</v>
      </c>
      <c r="G11" s="10"/>
      <c r="H11" s="8" t="s">
        <v>13</v>
      </c>
      <c r="J11" s="11" t="s">
        <v>148</v>
      </c>
      <c r="K11" s="11">
        <v>12.0</v>
      </c>
    </row>
    <row r="12">
      <c r="A12" s="12"/>
      <c r="B12" s="12"/>
      <c r="C12" s="12"/>
      <c r="D12" s="13" t="s">
        <v>15</v>
      </c>
      <c r="E12" s="13" t="s">
        <v>16</v>
      </c>
      <c r="F12" s="13" t="s">
        <v>11</v>
      </c>
      <c r="G12" s="13" t="s">
        <v>17</v>
      </c>
      <c r="H12" s="12"/>
    </row>
    <row r="13">
      <c r="A13" s="14">
        <v>1.0</v>
      </c>
      <c r="B13" s="15" t="s">
        <v>149</v>
      </c>
      <c r="C13" s="16" t="s">
        <v>67</v>
      </c>
      <c r="D13" s="29">
        <v>12.0</v>
      </c>
      <c r="E13" s="17">
        <f t="shared" ref="E13:E34" si="1">D13/$K$11</f>
        <v>1</v>
      </c>
      <c r="F13" s="14">
        <v>12.0</v>
      </c>
      <c r="G13" s="14">
        <v>63.0</v>
      </c>
      <c r="H13" s="18">
        <f t="shared" ref="H13:H34" si="2">G13+F13</f>
        <v>75</v>
      </c>
    </row>
    <row r="14">
      <c r="A14" s="14">
        <v>2.0</v>
      </c>
      <c r="B14" s="15" t="s">
        <v>150</v>
      </c>
      <c r="C14" s="16" t="s">
        <v>52</v>
      </c>
      <c r="D14" s="14">
        <v>7.0</v>
      </c>
      <c r="E14" s="17">
        <f t="shared" si="1"/>
        <v>0.5833333333</v>
      </c>
      <c r="F14" s="14">
        <v>7.0</v>
      </c>
      <c r="G14" s="14">
        <v>60.0</v>
      </c>
      <c r="H14" s="18">
        <f t="shared" si="2"/>
        <v>67</v>
      </c>
    </row>
    <row r="15">
      <c r="A15" s="14">
        <v>3.0</v>
      </c>
      <c r="B15" s="27" t="s">
        <v>151</v>
      </c>
      <c r="C15" s="16" t="s">
        <v>28</v>
      </c>
      <c r="D15" s="14">
        <v>10.0</v>
      </c>
      <c r="E15" s="17">
        <f t="shared" si="1"/>
        <v>0.8333333333</v>
      </c>
      <c r="F15" s="14">
        <v>10.0</v>
      </c>
      <c r="G15" s="14">
        <v>60.0</v>
      </c>
      <c r="H15" s="18">
        <f t="shared" si="2"/>
        <v>70</v>
      </c>
    </row>
    <row r="16">
      <c r="A16" s="14">
        <v>4.0</v>
      </c>
      <c r="B16" s="27" t="s">
        <v>152</v>
      </c>
      <c r="C16" s="28" t="s">
        <v>40</v>
      </c>
      <c r="D16" s="29">
        <v>12.0</v>
      </c>
      <c r="E16" s="17">
        <f t="shared" si="1"/>
        <v>1</v>
      </c>
      <c r="F16" s="14">
        <v>12.0</v>
      </c>
      <c r="G16" s="14">
        <v>55.0</v>
      </c>
      <c r="H16" s="18">
        <f t="shared" si="2"/>
        <v>67</v>
      </c>
    </row>
    <row r="17">
      <c r="A17" s="14">
        <v>5.0</v>
      </c>
      <c r="B17" s="15" t="s">
        <v>153</v>
      </c>
      <c r="C17" s="16" t="s">
        <v>33</v>
      </c>
      <c r="D17" s="14">
        <v>8.0</v>
      </c>
      <c r="E17" s="17">
        <f t="shared" si="1"/>
        <v>0.6666666667</v>
      </c>
      <c r="F17" s="14">
        <v>8.0</v>
      </c>
      <c r="G17" s="14">
        <v>60.0</v>
      </c>
      <c r="H17" s="18">
        <f t="shared" si="2"/>
        <v>68</v>
      </c>
    </row>
    <row r="18">
      <c r="A18" s="19">
        <v>6.0</v>
      </c>
      <c r="B18" s="30" t="s">
        <v>154</v>
      </c>
      <c r="C18" s="21" t="s">
        <v>28</v>
      </c>
      <c r="D18" s="19">
        <v>8.0</v>
      </c>
      <c r="E18" s="22">
        <f t="shared" si="1"/>
        <v>0.6666666667</v>
      </c>
      <c r="F18" s="19">
        <v>8.0</v>
      </c>
      <c r="G18" s="19">
        <v>57.0</v>
      </c>
      <c r="H18" s="23">
        <f t="shared" si="2"/>
        <v>65</v>
      </c>
    </row>
    <row r="19">
      <c r="A19" s="19">
        <v>7.0</v>
      </c>
      <c r="B19" s="30" t="s">
        <v>155</v>
      </c>
      <c r="C19" s="21" t="s">
        <v>75</v>
      </c>
      <c r="D19" s="19">
        <v>7.0</v>
      </c>
      <c r="E19" s="22">
        <f t="shared" si="1"/>
        <v>0.5833333333</v>
      </c>
      <c r="F19" s="19">
        <v>7.0</v>
      </c>
      <c r="G19" s="19">
        <v>57.0</v>
      </c>
      <c r="H19" s="23">
        <f t="shared" si="2"/>
        <v>64</v>
      </c>
    </row>
    <row r="20">
      <c r="A20" s="19">
        <v>8.0</v>
      </c>
      <c r="B20" s="30" t="s">
        <v>156</v>
      </c>
      <c r="C20" s="21" t="s">
        <v>28</v>
      </c>
      <c r="D20" s="19">
        <v>7.0</v>
      </c>
      <c r="E20" s="22">
        <f t="shared" si="1"/>
        <v>0.5833333333</v>
      </c>
      <c r="F20" s="19">
        <v>7.0</v>
      </c>
      <c r="G20" s="19">
        <v>50.0</v>
      </c>
      <c r="H20" s="23">
        <f t="shared" si="2"/>
        <v>57</v>
      </c>
    </row>
    <row r="21">
      <c r="A21" s="19">
        <v>9.0</v>
      </c>
      <c r="B21" s="30" t="s">
        <v>157</v>
      </c>
      <c r="C21" s="31" t="s">
        <v>61</v>
      </c>
      <c r="D21" s="19">
        <v>9.0</v>
      </c>
      <c r="E21" s="22">
        <f t="shared" si="1"/>
        <v>0.75</v>
      </c>
      <c r="F21" s="19">
        <v>9.0</v>
      </c>
      <c r="G21" s="19">
        <v>47.0</v>
      </c>
      <c r="H21" s="23">
        <f t="shared" si="2"/>
        <v>56</v>
      </c>
    </row>
    <row r="22">
      <c r="A22" s="19">
        <v>10.0</v>
      </c>
      <c r="B22" s="30" t="s">
        <v>158</v>
      </c>
      <c r="C22" s="31" t="s">
        <v>30</v>
      </c>
      <c r="D22" s="19">
        <v>8.0</v>
      </c>
      <c r="E22" s="22">
        <f t="shared" si="1"/>
        <v>0.6666666667</v>
      </c>
      <c r="F22" s="19">
        <v>8.0</v>
      </c>
      <c r="G22" s="19">
        <v>47.0</v>
      </c>
      <c r="H22" s="23">
        <f t="shared" si="2"/>
        <v>55</v>
      </c>
    </row>
    <row r="23">
      <c r="A23" s="19">
        <v>11.0</v>
      </c>
      <c r="B23" s="30" t="s">
        <v>159</v>
      </c>
      <c r="C23" s="21" t="s">
        <v>127</v>
      </c>
      <c r="D23" s="32">
        <v>12.0</v>
      </c>
      <c r="E23" s="22">
        <f t="shared" si="1"/>
        <v>1</v>
      </c>
      <c r="F23" s="19">
        <v>12.0</v>
      </c>
      <c r="G23" s="19">
        <v>43.0</v>
      </c>
      <c r="H23" s="23">
        <f t="shared" si="2"/>
        <v>55</v>
      </c>
    </row>
    <row r="24">
      <c r="A24" s="19">
        <v>12.0</v>
      </c>
      <c r="B24" s="30" t="s">
        <v>160</v>
      </c>
      <c r="C24" s="31" t="s">
        <v>30</v>
      </c>
      <c r="D24" s="19">
        <v>9.0</v>
      </c>
      <c r="E24" s="22">
        <f t="shared" si="1"/>
        <v>0.75</v>
      </c>
      <c r="F24" s="19">
        <v>9.0</v>
      </c>
      <c r="G24" s="19">
        <v>43.0</v>
      </c>
      <c r="H24" s="23">
        <f t="shared" si="2"/>
        <v>52</v>
      </c>
    </row>
    <row r="25">
      <c r="A25" s="19">
        <v>13.0</v>
      </c>
      <c r="B25" s="30" t="s">
        <v>161</v>
      </c>
      <c r="C25" s="31" t="s">
        <v>61</v>
      </c>
      <c r="D25" s="19">
        <v>10.0</v>
      </c>
      <c r="E25" s="22">
        <f t="shared" si="1"/>
        <v>0.8333333333</v>
      </c>
      <c r="F25" s="19">
        <v>10.0</v>
      </c>
      <c r="G25" s="19">
        <v>40.0</v>
      </c>
      <c r="H25" s="23">
        <f t="shared" si="2"/>
        <v>50</v>
      </c>
    </row>
    <row r="26">
      <c r="A26" s="19">
        <v>14.0</v>
      </c>
      <c r="B26" s="33" t="s">
        <v>162</v>
      </c>
      <c r="C26" s="21" t="s">
        <v>26</v>
      </c>
      <c r="D26" s="19">
        <v>4.0</v>
      </c>
      <c r="E26" s="22">
        <f t="shared" si="1"/>
        <v>0.3333333333</v>
      </c>
      <c r="F26" s="19">
        <v>4.0</v>
      </c>
      <c r="G26" s="19">
        <v>43.0</v>
      </c>
      <c r="H26" s="23">
        <f t="shared" si="2"/>
        <v>47</v>
      </c>
    </row>
    <row r="27">
      <c r="A27" s="19">
        <v>15.0</v>
      </c>
      <c r="B27" s="30" t="s">
        <v>163</v>
      </c>
      <c r="C27" s="31" t="s">
        <v>30</v>
      </c>
      <c r="D27" s="19">
        <v>7.0</v>
      </c>
      <c r="E27" s="22">
        <f t="shared" si="1"/>
        <v>0.5833333333</v>
      </c>
      <c r="F27" s="19">
        <v>7.0</v>
      </c>
      <c r="G27" s="19">
        <v>40.0</v>
      </c>
      <c r="H27" s="23">
        <f t="shared" si="2"/>
        <v>47</v>
      </c>
    </row>
    <row r="28">
      <c r="A28" s="19">
        <v>16.0</v>
      </c>
      <c r="B28" s="30" t="s">
        <v>164</v>
      </c>
      <c r="C28" s="31" t="s">
        <v>33</v>
      </c>
      <c r="D28" s="19">
        <v>9.0</v>
      </c>
      <c r="E28" s="22">
        <f t="shared" si="1"/>
        <v>0.75</v>
      </c>
      <c r="F28" s="19">
        <v>9.0</v>
      </c>
      <c r="G28" s="19">
        <v>37.0</v>
      </c>
      <c r="H28" s="23">
        <f t="shared" si="2"/>
        <v>46</v>
      </c>
    </row>
    <row r="29">
      <c r="A29" s="19">
        <v>17.0</v>
      </c>
      <c r="B29" s="30" t="s">
        <v>165</v>
      </c>
      <c r="C29" s="21" t="s">
        <v>52</v>
      </c>
      <c r="D29" s="19">
        <v>9.0</v>
      </c>
      <c r="E29" s="22">
        <f t="shared" si="1"/>
        <v>0.75</v>
      </c>
      <c r="F29" s="19">
        <v>9.0</v>
      </c>
      <c r="G29" s="19">
        <v>53.0</v>
      </c>
      <c r="H29" s="23">
        <f t="shared" si="2"/>
        <v>62</v>
      </c>
    </row>
    <row r="30">
      <c r="A30" s="19">
        <v>18.0</v>
      </c>
      <c r="B30" s="30" t="s">
        <v>166</v>
      </c>
      <c r="C30" s="31" t="s">
        <v>37</v>
      </c>
      <c r="D30" s="19">
        <v>5.0</v>
      </c>
      <c r="E30" s="22">
        <f t="shared" si="1"/>
        <v>0.4166666667</v>
      </c>
      <c r="F30" s="19">
        <v>5.0</v>
      </c>
      <c r="G30" s="19">
        <v>37.0</v>
      </c>
      <c r="H30" s="23">
        <f t="shared" si="2"/>
        <v>42</v>
      </c>
    </row>
    <row r="31">
      <c r="A31" s="19">
        <v>19.0</v>
      </c>
      <c r="B31" s="30" t="s">
        <v>167</v>
      </c>
      <c r="C31" s="31" t="s">
        <v>80</v>
      </c>
      <c r="D31" s="32">
        <v>11.0</v>
      </c>
      <c r="E31" s="22">
        <f t="shared" si="1"/>
        <v>0.9166666667</v>
      </c>
      <c r="F31" s="19">
        <v>11.0</v>
      </c>
      <c r="G31" s="19">
        <v>33.0</v>
      </c>
      <c r="H31" s="23">
        <f t="shared" si="2"/>
        <v>44</v>
      </c>
    </row>
    <row r="32">
      <c r="A32" s="19">
        <v>20.0</v>
      </c>
      <c r="B32" s="20" t="s">
        <v>168</v>
      </c>
      <c r="C32" s="21" t="s">
        <v>33</v>
      </c>
      <c r="D32" s="19">
        <v>7.0</v>
      </c>
      <c r="E32" s="22">
        <f t="shared" si="1"/>
        <v>0.5833333333</v>
      </c>
      <c r="F32" s="19">
        <v>7.0</v>
      </c>
      <c r="G32" s="19">
        <v>33.0</v>
      </c>
      <c r="H32" s="23">
        <f t="shared" si="2"/>
        <v>40</v>
      </c>
    </row>
    <row r="33">
      <c r="A33" s="19">
        <v>21.0</v>
      </c>
      <c r="B33" s="20" t="s">
        <v>169</v>
      </c>
      <c r="C33" s="31" t="s">
        <v>30</v>
      </c>
      <c r="D33" s="19">
        <v>0.0</v>
      </c>
      <c r="E33" s="22">
        <f t="shared" si="1"/>
        <v>0</v>
      </c>
      <c r="F33" s="19">
        <v>0.0</v>
      </c>
      <c r="G33" s="19">
        <v>33.0</v>
      </c>
      <c r="H33" s="23">
        <f t="shared" si="2"/>
        <v>33</v>
      </c>
    </row>
    <row r="34">
      <c r="A34" s="19">
        <v>22.0</v>
      </c>
      <c r="B34" s="34" t="s">
        <v>170</v>
      </c>
      <c r="C34" s="31" t="s">
        <v>30</v>
      </c>
      <c r="D34" s="19">
        <v>0.0</v>
      </c>
      <c r="E34" s="22">
        <f t="shared" si="1"/>
        <v>0</v>
      </c>
      <c r="F34" s="19">
        <v>0.0</v>
      </c>
      <c r="G34" s="19">
        <v>20.0</v>
      </c>
      <c r="H34" s="23">
        <f t="shared" si="2"/>
        <v>20</v>
      </c>
    </row>
    <row r="40">
      <c r="C40" s="35" t="s">
        <v>149</v>
      </c>
      <c r="D40" s="36">
        <v>69.0</v>
      </c>
      <c r="E40" s="11">
        <v>69.0</v>
      </c>
    </row>
    <row r="41">
      <c r="B41" s="37">
        <v>2.0</v>
      </c>
      <c r="C41" s="35" t="s">
        <v>150</v>
      </c>
      <c r="D41" s="38" t="s">
        <v>52</v>
      </c>
      <c r="E41" s="36">
        <v>65.0</v>
      </c>
    </row>
    <row r="42">
      <c r="B42" s="37">
        <v>3.0</v>
      </c>
      <c r="C42" s="39" t="s">
        <v>151</v>
      </c>
      <c r="D42" s="38" t="s">
        <v>28</v>
      </c>
      <c r="E42" s="36">
        <v>64.0</v>
      </c>
    </row>
    <row r="43">
      <c r="B43" s="37">
        <v>4.0</v>
      </c>
      <c r="C43" s="35" t="s">
        <v>153</v>
      </c>
      <c r="D43" s="40" t="s">
        <v>33</v>
      </c>
      <c r="E43" s="40">
        <v>62.0</v>
      </c>
    </row>
    <row r="44">
      <c r="B44" s="37">
        <v>5.0</v>
      </c>
      <c r="C44" s="39" t="s">
        <v>152</v>
      </c>
      <c r="D44" s="41" t="s">
        <v>40</v>
      </c>
      <c r="E44" s="40">
        <v>62.0</v>
      </c>
    </row>
    <row r="45">
      <c r="B45" s="37">
        <v>6.0</v>
      </c>
      <c r="C45" s="42" t="s">
        <v>154</v>
      </c>
      <c r="D45" s="43" t="s">
        <v>28</v>
      </c>
      <c r="E45" s="40">
        <v>61.0</v>
      </c>
    </row>
    <row r="46">
      <c r="B46" s="37">
        <v>7.0</v>
      </c>
      <c r="C46" s="42" t="s">
        <v>155</v>
      </c>
      <c r="D46" s="43" t="s">
        <v>75</v>
      </c>
      <c r="E46" s="40">
        <v>61.0</v>
      </c>
    </row>
    <row r="47">
      <c r="B47" s="37">
        <v>8.0</v>
      </c>
      <c r="C47" s="42" t="s">
        <v>156</v>
      </c>
      <c r="D47" s="43" t="s">
        <v>28</v>
      </c>
      <c r="E47" s="44">
        <v>54.0</v>
      </c>
    </row>
    <row r="48">
      <c r="B48" s="37">
        <v>9.0</v>
      </c>
      <c r="C48" s="42" t="s">
        <v>157</v>
      </c>
      <c r="D48" s="45" t="s">
        <v>61</v>
      </c>
      <c r="E48" s="44">
        <v>52.0</v>
      </c>
    </row>
    <row r="49">
      <c r="B49" s="37">
        <v>10.0</v>
      </c>
      <c r="C49" s="42" t="s">
        <v>158</v>
      </c>
      <c r="D49" s="45" t="s">
        <v>30</v>
      </c>
      <c r="E49" s="44">
        <v>51.0</v>
      </c>
    </row>
    <row r="50">
      <c r="B50" s="37">
        <v>11.0</v>
      </c>
      <c r="C50" s="42" t="s">
        <v>159</v>
      </c>
      <c r="D50" s="43" t="s">
        <v>127</v>
      </c>
      <c r="E50" s="44">
        <v>49.0</v>
      </c>
    </row>
    <row r="51">
      <c r="B51" s="37">
        <v>12.0</v>
      </c>
      <c r="C51" s="42" t="s">
        <v>160</v>
      </c>
      <c r="D51" s="45" t="s">
        <v>30</v>
      </c>
      <c r="E51" s="44">
        <v>48.0</v>
      </c>
    </row>
    <row r="52">
      <c r="B52" s="37">
        <v>13.0</v>
      </c>
      <c r="C52" s="42" t="s">
        <v>171</v>
      </c>
      <c r="D52" s="43" t="s">
        <v>26</v>
      </c>
      <c r="E52" s="44">
        <v>45.0</v>
      </c>
    </row>
    <row r="53">
      <c r="B53" s="37">
        <v>14.0</v>
      </c>
      <c r="C53" s="42" t="s">
        <v>161</v>
      </c>
      <c r="D53" s="45" t="s">
        <v>61</v>
      </c>
      <c r="E53" s="44">
        <v>45.0</v>
      </c>
    </row>
    <row r="54">
      <c r="B54" s="37">
        <v>15.0</v>
      </c>
      <c r="C54" s="42" t="s">
        <v>163</v>
      </c>
      <c r="D54" s="45" t="s">
        <v>30</v>
      </c>
      <c r="E54" s="44">
        <v>44.0</v>
      </c>
    </row>
    <row r="55">
      <c r="B55" s="37">
        <v>16.0</v>
      </c>
      <c r="C55" s="42" t="s">
        <v>164</v>
      </c>
      <c r="D55" s="45" t="s">
        <v>33</v>
      </c>
      <c r="E55" s="44">
        <v>42.0</v>
      </c>
    </row>
    <row r="56">
      <c r="B56" s="37">
        <v>17.0</v>
      </c>
      <c r="C56" s="42" t="s">
        <v>165</v>
      </c>
      <c r="D56" s="43" t="s">
        <v>52</v>
      </c>
      <c r="E56" s="44">
        <v>42.0</v>
      </c>
    </row>
    <row r="57">
      <c r="B57" s="37">
        <v>18.0</v>
      </c>
      <c r="C57" s="42" t="s">
        <v>166</v>
      </c>
      <c r="D57" s="45" t="s">
        <v>37</v>
      </c>
      <c r="E57" s="44">
        <v>40.0</v>
      </c>
    </row>
    <row r="58">
      <c r="B58" s="37">
        <v>19.0</v>
      </c>
      <c r="C58" s="42" t="s">
        <v>167</v>
      </c>
      <c r="D58" s="45" t="s">
        <v>80</v>
      </c>
      <c r="E58" s="44">
        <v>39.0</v>
      </c>
    </row>
    <row r="59">
      <c r="B59" s="37">
        <v>20.0</v>
      </c>
      <c r="C59" s="46" t="s">
        <v>168</v>
      </c>
      <c r="D59" s="43" t="s">
        <v>33</v>
      </c>
      <c r="E59" s="44">
        <v>37.0</v>
      </c>
    </row>
    <row r="60">
      <c r="B60" s="37">
        <v>21.0</v>
      </c>
      <c r="C60" s="42" t="s">
        <v>172</v>
      </c>
      <c r="D60" s="43" t="s">
        <v>30</v>
      </c>
      <c r="E60" s="44">
        <v>33.0</v>
      </c>
    </row>
    <row r="61">
      <c r="B61" s="37">
        <v>22.0</v>
      </c>
      <c r="C61" s="42" t="s">
        <v>173</v>
      </c>
      <c r="D61" s="43" t="s">
        <v>30</v>
      </c>
      <c r="E61" s="44">
        <v>20.0</v>
      </c>
    </row>
  </sheetData>
  <mergeCells count="14">
    <mergeCell ref="A9:H9"/>
    <mergeCell ref="A11:A12"/>
    <mergeCell ref="B11:B12"/>
    <mergeCell ref="C11:C12"/>
    <mergeCell ref="D11:E11"/>
    <mergeCell ref="F11:G11"/>
    <mergeCell ref="H11:H12"/>
    <mergeCell ref="A1:H1"/>
    <mergeCell ref="A2:H2"/>
    <mergeCell ref="A3:H3"/>
    <mergeCell ref="A4:H4"/>
    <mergeCell ref="A5:H5"/>
    <mergeCell ref="A7:H7"/>
    <mergeCell ref="A8:H8"/>
  </mergeCells>
  <drawing r:id="rId1"/>
</worksheet>
</file>